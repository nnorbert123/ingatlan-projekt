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jesítménynapló" sheetId="1" state="visible" r:id="rId3"/>
    <sheet name="Fejlesztői Összesítő" sheetId="2" state="visible" r:id="rId4"/>
    <sheet name="Sprint Összesítő" sheetId="3" state="visible" r:id="rId5"/>
    <sheet name="Statisztiká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<sst xmlns="http://schemas.openxmlformats.org/spreadsheetml/2006/main" count="730" uniqueCount="282">
  <si>
    <t xml:space="preserve">INGATLAN WEBOLDAL – FEJLESZTŐI TELJESÍTMÉNYNAPLÓ</t>
  </si>
  <si>
    <t xml:space="preserve">2025. december 7. – 2026. február 28.  |  3 fejlesztő</t>
  </si>
  <si>
    <t xml:space="preserve">#</t>
  </si>
  <si>
    <t xml:space="preserve">Dátum</t>
  </si>
  <si>
    <t xml:space="preserve">Fejlesztő</t>
  </si>
  <si>
    <t xml:space="preserve">Terület</t>
  </si>
  <si>
    <t xml:space="preserve">Elvégzett munka</t>
  </si>
  <si>
    <t xml:space="preserve">Idő (ó)</t>
  </si>
  <si>
    <t xml:space="preserve">Státusz</t>
  </si>
  <si>
    <t xml:space="preserve">Megjegyzés</t>
  </si>
  <si>
    <t xml:space="preserve">Sprint</t>
  </si>
  <si>
    <t xml:space="preserve">── DECEMBER 2025 ──────────────────────────────────────────────────</t>
  </si>
  <si>
    <t xml:space="preserve">2025-12-07</t>
  </si>
  <si>
    <t xml:space="preserve">P.V.</t>
  </si>
  <si>
    <t xml:space="preserve">Tervezés</t>
  </si>
  <si>
    <t xml:space="preserve">Projekt indítás – feladatok kiosztása, Trello tábla felállítása</t>
  </si>
  <si>
    <t xml:space="preserve">✅ Kész</t>
  </si>
  <si>
    <t xml:space="preserve">Kickoff meeting</t>
  </si>
  <si>
    <t xml:space="preserve">Sprint 1</t>
  </si>
  <si>
    <t xml:space="preserve">S.A.</t>
  </si>
  <si>
    <t xml:space="preserve">Adatbázis séma megtervezése (táblák, kapcsolatok, kulcsok)</t>
  </si>
  <si>
    <t xml:space="preserve">ERD diagram elkészült</t>
  </si>
  <si>
    <t xml:space="preserve">N.N.</t>
  </si>
  <si>
    <t xml:space="preserve">Technológiai stack döntések, GitHub repó létrehozása és branch stratégia</t>
  </si>
  <si>
    <t xml:space="preserve">README.md megírva</t>
  </si>
  <si>
    <t xml:space="preserve">2025-12-08</t>
  </si>
  <si>
    <t xml:space="preserve">UI/UX wireframe-ek elkészítése főbb oldalakhoz</t>
  </si>
  <si>
    <t xml:space="preserve">Figma fájl megosztva</t>
  </si>
  <si>
    <t xml:space="preserve">2025-12-09</t>
  </si>
  <si>
    <t xml:space="preserve">CI/CD pipeline és deployment stratégia megtervezése</t>
  </si>
  <si>
    <t xml:space="preserve">VPS kiválasztva</t>
  </si>
  <si>
    <t xml:space="preserve">2025-12-10</t>
  </si>
  <si>
    <t xml:space="preserve">Backend</t>
  </si>
  <si>
    <t xml:space="preserve">MySQL adatbázis létrehozása, táblák migrációja</t>
  </si>
  <si>
    <t xml:space="preserve">ingatlan_db aktív</t>
  </si>
  <si>
    <t xml:space="preserve">2025-12-11</t>
  </si>
  <si>
    <t xml:space="preserve">Node.js/Express szerver alapok, .env konfiguráció</t>
  </si>
  <si>
    <t xml:space="preserve">pm2 beállítva</t>
  </si>
  <si>
    <t xml:space="preserve">2025-12-12</t>
  </si>
  <si>
    <t xml:space="preserve">JWT autentikáció middleware megírása</t>
  </si>
  <si>
    <t xml:space="preserve">Token lejárat: 7 nap</t>
  </si>
  <si>
    <t xml:space="preserve">2025-12-13</t>
  </si>
  <si>
    <t xml:space="preserve">Adatbázis kapcsolat pool konfigurálása (mysql2)</t>
  </si>
  <si>
    <t xml:space="preserve">–</t>
  </si>
  <si>
    <t xml:space="preserve">2025-12-14</t>
  </si>
  <si>
    <t xml:space="preserve">Frontend</t>
  </si>
  <si>
    <t xml:space="preserve">React app alapstruktúra, React Router beállítása</t>
  </si>
  <si>
    <t xml:space="preserve">Create React App</t>
  </si>
  <si>
    <t xml:space="preserve">2025-12-15</t>
  </si>
  <si>
    <t xml:space="preserve">App.css alapstílusok, CSS változók definiálása (--gold, --dark)</t>
  </si>
  <si>
    <t xml:space="preserve">Arany/sötétkék téma</t>
  </si>
  <si>
    <t xml:space="preserve">2025-12-16</t>
  </si>
  <si>
    <t xml:space="preserve">Navbar komponens elkészítése (logó, linkek, dropdown)</t>
  </si>
  <si>
    <t xml:space="preserve">Reszponzív hamburger menü</t>
  </si>
  <si>
    <t xml:space="preserve">2025-12-17</t>
  </si>
  <si>
    <t xml:space="preserve">nginx konfigurálása, SSL tanúsítvány beállítása (Let's Encrypt)</t>
  </si>
  <si>
    <t xml:space="preserve">HTTPS aktív</t>
  </si>
  <si>
    <t xml:space="preserve">2025-12-18</t>
  </si>
  <si>
    <t xml:space="preserve">pm2 ökoszisztéma fájl, automatikus újraindítás beállítása</t>
  </si>
  <si>
    <t xml:space="preserve">2025-12-19</t>
  </si>
  <si>
    <t xml:space="preserve">Bejelentkezési oldal (form, validáció, axios hívás)</t>
  </si>
  <si>
    <t xml:space="preserve">Sprint 2</t>
  </si>
  <si>
    <t xml:space="preserve">Regisztráció és bejelentkezés API végpontok (/auth/register, /auth/login)</t>
  </si>
  <si>
    <t xml:space="preserve">Bcrypt jelszó hash</t>
  </si>
  <si>
    <t xml:space="preserve">2025-12-20</t>
  </si>
  <si>
    <t xml:space="preserve">Regisztrációs oldal elkészítése</t>
  </si>
  <si>
    <t xml:space="preserve">Email validáció</t>
  </si>
  <si>
    <t xml:space="preserve">2025-12-21</t>
  </si>
  <si>
    <t xml:space="preserve">Főoldal elkészítése – videós háttér, keresőmező, szlogen</t>
  </si>
  <si>
    <t xml:space="preserve">Autoplay muted video</t>
  </si>
  <si>
    <t xml:space="preserve">2025-12-22</t>
  </si>
  <si>
    <t xml:space="preserve">Email megerősítő rendszer (nodemailer, SMTP konfig)</t>
  </si>
  <si>
    <t xml:space="preserve">Gmail SMTP</t>
  </si>
  <si>
    <t xml:space="preserve">2025-12-23</t>
  </si>
  <si>
    <t xml:space="preserve">Ingatlanok listázása API (/api/ingatlanok) – szűrők, lapozás</t>
  </si>
  <si>
    <t xml:space="preserve">LIMIT/OFFSET implementálva</t>
  </si>
  <si>
    <t xml:space="preserve">2025-12-24</t>
  </si>
  <si>
    <t xml:space="preserve">Email megerősítés küldése regisztrációkor – token generálás</t>
  </si>
  <si>
    <t xml:space="preserve">2025-12-27</t>
  </si>
  <si>
    <t xml:space="preserve">Home.js szűrődoboz redesign – fehér kártya stílus (.home-filters)</t>
  </si>
  <si>
    <t xml:space="preserve">Tranzakció select hozzáadva</t>
  </si>
  <si>
    <t xml:space="preserve">2025-12-28</t>
  </si>
  <si>
    <t xml:space="preserve">Ingatlan lista oldal – kártyák, szűrők, lapozó komponens</t>
  </si>
  <si>
    <t xml:space="preserve">Properties.js</t>
  </si>
  <si>
    <t xml:space="preserve">Ingatlan részletes adatok API – képek, adatok, hirdető info</t>
  </si>
  <si>
    <t xml:space="preserve">2025-12-29</t>
  </si>
  <si>
    <t xml:space="preserve">Ingatlan kártyakomponens és részletes oldal szerver oldali logika</t>
  </si>
  <si>
    <t xml:space="preserve">2025-12-30</t>
  </si>
  <si>
    <t xml:space="preserve">Képfeltöltés alapok – multer middleware, /uploads mappa</t>
  </si>
  <si>
    <t xml:space="preserve">max 50MB nginx limit</t>
  </si>
  <si>
    <t xml:space="preserve">── JANUÁR 2026 ──────────────────────────────────────────────────</t>
  </si>
  <si>
    <t xml:space="preserve">2026-01-03</t>
  </si>
  <si>
    <t xml:space="preserve">Ingatlan lista API finomítása – szűrők tesztelése, hibák javítása</t>
  </si>
  <si>
    <t xml:space="preserve">Sprint 3</t>
  </si>
  <si>
    <t xml:space="preserve">2026-01-05</t>
  </si>
  <si>
    <t xml:space="preserve">Ingatlan részletes oldal – adatok, térkép placeholder, hirdető info</t>
  </si>
  <si>
    <t xml:space="preserve">Hirdetés feltöltés API – ingatlanok CREATE/UPDATE/DELETE végpontok</t>
  </si>
  <si>
    <t xml:space="preserve">2026-01-06</t>
  </si>
  <si>
    <t xml:space="preserve">Képgaléria komponens – automatikus és kézi lapozás, fullscreen</t>
  </si>
  <si>
    <t xml:space="preserve">2026-01-08</t>
  </si>
  <si>
    <t xml:space="preserve">Hirdetés szerkesztés és törlés végpontok, jogosultság ellenőrzés</t>
  </si>
  <si>
    <t xml:space="preserve">2026-01-10</t>
  </si>
  <si>
    <t xml:space="preserve">API hibakezelés egységesítése – try/catch, HTTP státuszkódok</t>
  </si>
  <si>
    <t xml:space="preserve">2026-01-11</t>
  </si>
  <si>
    <t xml:space="preserve">Képgaléria finomítása, lazy loading implementálása</t>
  </si>
  <si>
    <t xml:space="preserve">2026-01-12</t>
  </si>
  <si>
    <t xml:space="preserve">Képfeltöltő oldal – húzd-és-ejtsd, előnézet, sorrend módosítás</t>
  </si>
  <si>
    <t xml:space="preserve">AdvancedImageUploader</t>
  </si>
  <si>
    <t xml:space="preserve">Képek mentése szerverre, adatbázisba, törlés kezelése</t>
  </si>
  <si>
    <t xml:space="preserve">2026-01-13</t>
  </si>
  <si>
    <t xml:space="preserve">Hirdetés feladó wizard (5 lép: Alapadatok→Részletek→Helyszín→Képek→Összesítés)</t>
  </si>
  <si>
    <t xml:space="preserve">AddProperty.js</t>
  </si>
  <si>
    <t xml:space="preserve">2026-01-15</t>
  </si>
  <si>
    <t xml:space="preserve">Hirdetés szerkesztő oldal – adatok betöltése, módosítás, mentés</t>
  </si>
  <si>
    <t xml:space="preserve">2026-01-18</t>
  </si>
  <si>
    <t xml:space="preserve">Hirdetés feladó és szerkesztő oldal tesztelése, bugjavítás</t>
  </si>
  <si>
    <t xml:space="preserve">2026-01-19</t>
  </si>
  <si>
    <t xml:space="preserve">Üzenetek adatbázis tábla (uzenetek) – soft delete oszlopok hozzáadása</t>
  </si>
  <si>
    <t xml:space="preserve">torolt_kuldo / torolt_fogado</t>
  </si>
  <si>
    <t xml:space="preserve">Sprint 4</t>
  </si>
  <si>
    <t xml:space="preserve">Üzenetek API – küldés, listázás, törlés végpontok</t>
  </si>
  <si>
    <t xml:space="preserve">Kedvencek API – hozzáad, eltávolít, listáz végpontok</t>
  </si>
  <si>
    <t xml:space="preserve">2026-01-21</t>
  </si>
  <si>
    <t xml:space="preserve">Üzenetküldő felület – bal panel (lista), jobb panel (chat nézet)</t>
  </si>
  <si>
    <t xml:space="preserve">Messages.js</t>
  </si>
  <si>
    <t xml:space="preserve">Adminisztrációs felület API – 3 fül: hirdetések, felfüggesztett, felhasználók</t>
  </si>
  <si>
    <t xml:space="preserve">2026-01-23</t>
  </si>
  <si>
    <t xml:space="preserve">Kedvencek táblák, indexek optimalizálása</t>
  </si>
  <si>
    <t xml:space="preserve">2026-01-24</t>
  </si>
  <si>
    <t xml:space="preserve">Üzenetküldő gomb ingatlan oldalon – MessageModal komponens</t>
  </si>
  <si>
    <t xml:space="preserve">2026-01-25</t>
  </si>
  <si>
    <t xml:space="preserve">Kedvencek oldal – mentett ingatlanok listázása, szívecske gomb</t>
  </si>
  <si>
    <t xml:space="preserve">Adminisztrációs felület – felhasználó törlés, szerepkör módosítás</t>
  </si>
  <si>
    <t xml:space="preserve">isSelf védelem</t>
  </si>
  <si>
    <t xml:space="preserve">2026-01-26</t>
  </si>
  <si>
    <t xml:space="preserve">Hirdető vezérlőpult – saját hirdetések kezelése, statisztikák</t>
  </si>
  <si>
    <t xml:space="preserve">Dashboard.js</t>
  </si>
  <si>
    <t xml:space="preserve">Értesítő emailek – üzenet és érdeklődés esetén automatikus küldés</t>
  </si>
  <si>
    <t xml:space="preserve">Megtekintési szám nyilvántartása – hirdetésenként, napi bontás</t>
  </si>
  <si>
    <t xml:space="preserve">2026-01-28</t>
  </si>
  <si>
    <t xml:space="preserve">Dashboard.js mobilos reszponzivitás, media query-k</t>
  </si>
  <si>
    <t xml:space="preserve">Elfelejtett jelszó – token generálás, email küldés, reset végpont</t>
  </si>
  <si>
    <t xml:space="preserve">Értesítési rendszer – szerver oldali logika és frontend megjelenítés</t>
  </si>
  <si>
    <t xml:space="preserve">2026-01-29</t>
  </si>
  <si>
    <t xml:space="preserve">Statisztika oldal – megtekintések alakulása chart adatok API-ja</t>
  </si>
  <si>
    <t xml:space="preserve">2026-01-30</t>
  </si>
  <si>
    <t xml:space="preserve">Password reset flow end-to-end tesztelése, edge case-ek javítása</t>
  </si>
  <si>
    <t xml:space="preserve">2026-01-31</t>
  </si>
  <si>
    <t xml:space="preserve">Üzenetfelület finomítása – olvasatlan badge, időbélyeg formázás</t>
  </si>
  <si>
    <t xml:space="preserve">Admin tábla névoszlop fix, szerep ENUM javítás ('user'/'admin')</t>
  </si>
  <si>
    <t xml:space="preserve">szerepkor ENUM fix</t>
  </si>
  <si>
    <t xml:space="preserve">── FEBRUÁR 2026 ──────────────────────────────────────────────────</t>
  </si>
  <si>
    <t xml:space="preserve">2026-02-01</t>
  </si>
  <si>
    <t xml:space="preserve">Képgaléria újratervezés – előnézeti képsor alul, nagyobb főkép</t>
  </si>
  <si>
    <t xml:space="preserve">Sprint 5</t>
  </si>
  <si>
    <t xml:space="preserve">2026-02-03</t>
  </si>
  <si>
    <t xml:space="preserve">Teljes képernyős képnézet – ESC gomb, nyilak, overlay</t>
  </si>
  <si>
    <t xml:space="preserve">2026-02-05</t>
  </si>
  <si>
    <t xml:space="preserve">Hirdetés szerkesztő képkezelés javítása – meglévő képek újra rendezés</t>
  </si>
  <si>
    <t xml:space="preserve">Profil szerkesztő oldal – profilkép feltöltés, adatok módosítása</t>
  </si>
  <si>
    <t xml:space="preserve">EditProfile.js</t>
  </si>
  <si>
    <t xml:space="preserve">2026-02-06</t>
  </si>
  <si>
    <t xml:space="preserve">Footer komponens elkészítése – linkek, copyright, reszponzív</t>
  </si>
  <si>
    <t xml:space="preserve">Footer.js</t>
  </si>
  <si>
    <t xml:space="preserve">2026-02-07</t>
  </si>
  <si>
    <t xml:space="preserve">Hibaoldal (404 – nem található oldal) komponens</t>
  </si>
  <si>
    <t xml:space="preserve">2026-02-08</t>
  </si>
  <si>
    <t xml:space="preserve">App.css globális Inter font override – h1-h6 egységes tipográfia</t>
  </si>
  <si>
    <t xml:space="preserve">Playfair → Inter</t>
  </si>
  <si>
    <t xml:space="preserve">Adminisztrációs felület – felhasználói adatok részletes megtekintése</t>
  </si>
  <si>
    <t xml:space="preserve">2026-02-10</t>
  </si>
  <si>
    <t xml:space="preserve">Properties.js SVG hullám hozzáadva a szűrő szekció aljára</t>
  </si>
  <si>
    <t xml:space="preserve">fill: #f8f7f4</t>
  </si>
  <si>
    <t xml:space="preserve">Admin – jelszó visszaállítás felhasználók részére (admin jog)</t>
  </si>
  <si>
    <t xml:space="preserve">2026-02-12</t>
  </si>
  <si>
    <t xml:space="preserve">Admin – keresés hirdetések és felhasználók között</t>
  </si>
  <si>
    <t xml:space="preserve">2026-02-14</t>
  </si>
  <si>
    <t xml:space="preserve">ingatlanok.ar oszlop INT→BIGINT módosítás (500-as hiba javítás)</t>
  </si>
  <si>
    <t xml:space="preserve">ALTER TABLE fix</t>
  </si>
  <si>
    <t xml:space="preserve">2026-02-15</t>
  </si>
  <si>
    <t xml:space="preserve">Foglalási rendszer – hirdetés lefoglalása API végpont</t>
  </si>
  <si>
    <t xml:space="preserve">2026-02-17</t>
  </si>
  <si>
    <t xml:space="preserve">Foglalás megjelenítése – FOGLALT jelölés az ingatlan oldalon</t>
  </si>
  <si>
    <t xml:space="preserve">2026-02-18</t>
  </si>
  <si>
    <t xml:space="preserve">Biztonsági fejlécek – helmet.js beállítása, CSP konfiguráció</t>
  </si>
  <si>
    <t xml:space="preserve">Sprint 6</t>
  </si>
  <si>
    <t xml:space="preserve">nginx client_max_body_size 50M beállítása – 413 hiba javítás</t>
  </si>
  <si>
    <t xml:space="preserve">2026-02-19</t>
  </si>
  <si>
    <t xml:space="preserve">Rate limiting – express-rate-limit, brute-force védelem /auth útvonalon</t>
  </si>
  <si>
    <t xml:space="preserve">2026-02-20</t>
  </si>
  <si>
    <t xml:space="preserve">Teljes felhasználói folyamat tesztelése – regisztrációtól hirdetésig</t>
  </si>
  <si>
    <t xml:space="preserve">Szerver oldali tesztelés – API végpontok, edge case-ek, hibajavítás</t>
  </si>
  <si>
    <t xml:space="preserve">2026-02-21</t>
  </si>
  <si>
    <t xml:space="preserve">1GB swap fájl létrehozása VPS-en – build memória-problémák megoldása</t>
  </si>
  <si>
    <t xml:space="preserve">/swapfile aktív</t>
  </si>
  <si>
    <t xml:space="preserve">2026-02-22</t>
  </si>
  <si>
    <t xml:space="preserve">Fejlesztői dokumentáció – v1–v3 fejezetek megírása</t>
  </si>
  <si>
    <t xml:space="preserve">v5.0.0 doksi</t>
  </si>
  <si>
    <t xml:space="preserve">2026-02-24</t>
  </si>
  <si>
    <t xml:space="preserve">Felhasználói útmutató elkészítése – képekkel, lépésről lépésre</t>
  </si>
  <si>
    <t xml:space="preserve">2026-02-25</t>
  </si>
  <si>
    <t xml:space="preserve">Mobilos reszponzivitás finomítása – hamburger gomb, dokumentáció dropdown</t>
  </si>
  <si>
    <t xml:space="preserve">Navbar.js fix</t>
  </si>
  <si>
    <t xml:space="preserve">2026-02-26</t>
  </si>
  <si>
    <t xml:space="preserve">Végső UI polishing – spacing, színek, betűméretek egységesítése</t>
  </si>
  <si>
    <t xml:space="preserve">Éles deploy előtti végső ellenőrzés, SSL megújítás</t>
  </si>
  <si>
    <t xml:space="preserve">2026-02-27</t>
  </si>
  <si>
    <t xml:space="preserve">Fejlesztői dokumentáció v6.0.0 frissítés, tesztelői doku elkészítése</t>
  </si>
  <si>
    <t xml:space="preserve">2026-02-28</t>
  </si>
  <si>
    <t xml:space="preserve">v3.0 végleges kijuttatás – éles szerver, GitHub tag, release notes</t>
  </si>
  <si>
    <t xml:space="preserve">🚀 LIVE!</t>
  </si>
  <si>
    <t xml:space="preserve">ÖSSZES BEJEGYZETT MUNKAÓRA</t>
  </si>
  <si>
    <t xml:space="preserve">FEJLESZTŐ JELMAGYARÁZAT</t>
  </si>
  <si>
    <t xml:space="preserve">Frontend fejlesztő</t>
  </si>
  <si>
    <t xml:space="preserve">Backend fejlesztő</t>
  </si>
  <si>
    <t xml:space="preserve">INGATLAN WEBOLDAL – FEJLESZTŐI ÖSSZESÍTŐ</t>
  </si>
  <si>
    <t xml:space="preserve">Teljesítmény fejlesztőnként, hónaponként és területenként</t>
  </si>
  <si>
    <t xml:space="preserve">Fő terület</t>
  </si>
  <si>
    <t xml:space="preserve">Dec. feladatok</t>
  </si>
  <si>
    <t xml:space="preserve">Jan. feladatok</t>
  </si>
  <si>
    <t xml:space="preserve">Feb. feladatok</t>
  </si>
  <si>
    <t xml:space="preserve">Összes feladat</t>
  </si>
  <si>
    <t xml:space="preserve">Összes munkaóra</t>
  </si>
  <si>
    <t xml:space="preserve">Szerepkör</t>
  </si>
  <si>
    <t xml:space="preserve">Felhasználói felület, oldalak, komponensek</t>
  </si>
  <si>
    <t xml:space="preserve">Szerver, adatbázis, API végpontok, biztonság</t>
  </si>
  <si>
    <t xml:space="preserve">Szerver, adminisztrációs felület, dokumentáció</t>
  </si>
  <si>
    <t xml:space="preserve">ÖSSZESEN</t>
  </si>
  <si>
    <t xml:space="preserve">  HAVI MUNKAÓRA BONTÁS</t>
  </si>
  <si>
    <t xml:space="preserve">December</t>
  </si>
  <si>
    <t xml:space="preserve">Január</t>
  </si>
  <si>
    <t xml:space="preserve">Február</t>
  </si>
  <si>
    <t xml:space="preserve">Összesen (ó)</t>
  </si>
  <si>
    <t xml:space="preserve">  FEJLESZTŐI KIEMELÉSEK (TOP 5 FELADAT/TERÜLET)</t>
  </si>
  <si>
    <t xml:space="preserve">React alapstruktúra és routing</t>
  </si>
  <si>
    <t xml:space="preserve">Képgaléria és képfeltöltő</t>
  </si>
  <si>
    <t xml:space="preserve">Üzenetküldő felület</t>
  </si>
  <si>
    <t xml:space="preserve">Dashboard vezérlőpult</t>
  </si>
  <si>
    <t xml:space="preserve">Profil szerkesztő</t>
  </si>
  <si>
    <t xml:space="preserve">JWT autentikáció</t>
  </si>
  <si>
    <t xml:space="preserve">Email rendszer (nodemailer)</t>
  </si>
  <si>
    <t xml:space="preserve">Üzenetek API (soft delete)</t>
  </si>
  <si>
    <t xml:space="preserve">Foglalási rendszer</t>
  </si>
  <si>
    <t xml:space="preserve">Biztonsági fejlécek, rate limit</t>
  </si>
  <si>
    <t xml:space="preserve">Ingatlan lista és részletes API</t>
  </si>
  <si>
    <t xml:space="preserve">Adminisztrációs felület</t>
  </si>
  <si>
    <t xml:space="preserve">Értesítési rendszer</t>
  </si>
  <si>
    <t xml:space="preserve">Statisztika oldal</t>
  </si>
  <si>
    <t xml:space="preserve">Fejlesztői dokumentáció</t>
  </si>
  <si>
    <t xml:space="preserve">INGATLAN WEBOLDAL – SPRINT ÖSSZESÍTŐ</t>
  </si>
  <si>
    <t xml:space="preserve">6 sprint, 3 hónap  |  December 2025 – Február 2026</t>
  </si>
  <si>
    <t xml:space="preserve">Kezdés</t>
  </si>
  <si>
    <t xml:space="preserve">Befejezés</t>
  </si>
  <si>
    <t xml:space="preserve">Feladatok száma</t>
  </si>
  <si>
    <t xml:space="preserve">Munkaórák</t>
  </si>
  <si>
    <t xml:space="preserve">Hónap</t>
  </si>
  <si>
    <t xml:space="preserve">Főbb teljesítések</t>
  </si>
  <si>
    <t xml:space="preserve">• Projekt indítás, architektúra, repó
• MySQL DB + nginx + SSL + pm2
• React alapstruktúra, App.css, Navbar</t>
  </si>
  <si>
    <t xml:space="preserve">2025-12-31</t>
  </si>
  <si>
    <t xml:space="preserve">• Bejelentkezés/regisztráció (FE+BE)
• Email megerősítés (nodemailer)
• Főoldal, Properties lista oldal
• Ingatlan lista API szűrőkkel</t>
  </si>
  <si>
    <t xml:space="preserve">• Részletes oldal, képgaléria
• Képfeltöltő (húzd-ejtsd, vágás)
• Hirdetés feladó 5-lépéses wizard
• Hirdetés CRUD API végpontok</t>
  </si>
  <si>
    <t xml:space="preserve">• Üzenetküldő felület (Messages.js)
• Kedvencek rendszer (FE+BE)
• Adminisztrációs felület 3 fül
• Dashboard vezérlőpult
• Értesítő emailek, jelszó reset</t>
  </si>
  <si>
    <t xml:space="preserve">• Képgaléria újratervezés
• Teljes képernyős nézet
• Profil szerkesztő + profilkép
• Footer, 404 oldal, Inter font
• Adminisztrációs felület bővítés</t>
  </si>
  <si>
    <t xml:space="preserve">• Biztonsági fejlécek (helmet.js)
• Rate limiting (brute-force védelem)
• Foglalási rendszer (FE+BE)
• v3.0 végleges deploy
• Fejlesztői és tesztelői dokumentáció</t>
  </si>
  <si>
    <t xml:space="preserve">3 hónap</t>
  </si>
  <si>
    <t xml:space="preserve">6 sprint – React + Node.js + MySQL  |  VPS: 87.229.84.216</t>
  </si>
  <si>
    <t xml:space="preserve">INGATLAN WEBOLDAL – PROJEKT STATISZTIKÁK</t>
  </si>
  <si>
    <t xml:space="preserve">Teljesítmény összesítés  |  2025. dec. 7. – 2026. feb. 28.</t>
  </si>
  <si>
    <t xml:space="preserve">  FELADATOK FEJLESZTŐNKÉNT ÉS HAVONTA</t>
  </si>
  <si>
    <t xml:space="preserve">Összesen</t>
  </si>
  <si>
    <t xml:space="preserve">Arány (%)</t>
  </si>
  <si>
    <t xml:space="preserve">100%</t>
  </si>
  <si>
    <t xml:space="preserve">  KULCS MUTATÓK</t>
  </si>
  <si>
    <t xml:space="preserve">Befejezett feladat</t>
  </si>
  <si>
    <t xml:space="preserve">Teljesítési arány</t>
  </si>
  <si>
    <t xml:space="preserve">Projekt hossza (nap)</t>
  </si>
  <si>
    <t xml:space="preserve">Fejlesztők száma</t>
  </si>
  <si>
    <t xml:space="preserve">Kiadott verziók</t>
  </si>
  <si>
    <t xml:space="preserve">Átlag óra/feladat</t>
  </si>
  <si>
    <t xml:space="preserve">Dec. munkaórák</t>
  </si>
  <si>
    <t xml:space="preserve">Jan. munkaórák</t>
  </si>
  <si>
    <t xml:space="preserve">Feb. munkaórák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</si>
</sst>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4A8A"/>
      <name val="Arial"/>
      <family val="0"/>
      <charset val="1"/>
    </font>
    <font>
      <b val="true"/>
      <sz val="10"/>
      <color rgb="FF1E7A3D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7D4E00"/>
      <name val="Arial"/>
      <family val="0"/>
      <charset val="1"/>
    </font>
    <font>
      <b val="true"/>
      <sz val="10"/>
      <color rgb="FF1A5E3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1A4A8A"/>
      </patternFill>
    </fill>
    <fill>
      <patternFill patternType="solid">
        <fgColor rgb="FF2E6DA4"/>
        <bgColor rgb="FF1A4A8A"/>
      </patternFill>
    </fill>
    <fill>
      <patternFill patternType="solid">
        <fgColor rgb="FFFFFFFF"/>
        <bgColor rgb="FFF9FBFD"/>
      </patternFill>
    </fill>
    <fill>
      <patternFill patternType="solid">
        <fgColor rgb="FFD6E4F7"/>
        <bgColor rgb="FFD5F0DE"/>
      </patternFill>
    </fill>
    <fill>
      <patternFill patternType="solid">
        <fgColor rgb="FFFFF2CC"/>
        <bgColor rgb="FFFDEBD0"/>
      </patternFill>
    </fill>
    <fill>
      <patternFill patternType="solid">
        <fgColor rgb="FFD5F0DE"/>
        <bgColor rgb="FFD5F5E3"/>
      </patternFill>
    </fill>
    <fill>
      <patternFill patternType="solid">
        <fgColor rgb="FFF9FBFD"/>
        <bgColor rgb="FFFFFFFF"/>
      </patternFill>
    </fill>
    <fill>
      <patternFill patternType="solid">
        <fgColor rgb="FFFCE5CD"/>
        <bgColor rgb="FFFDEBD0"/>
      </patternFill>
    </fill>
    <fill>
      <patternFill patternType="solid">
        <fgColor rgb="FFD5F5E3"/>
        <bgColor rgb="FFD5F0DE"/>
      </patternFill>
    </fill>
    <fill>
      <patternFill patternType="solid">
        <fgColor rgb="FFFDEBD0"/>
        <bgColor rgb="FFFCE5CD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F0DE"/>
      <rgbColor rgb="FF660066"/>
      <rgbColor rgb="FFFF8080"/>
      <rgbColor rgb="FF2E6DA4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5F5E3"/>
      <rgbColor rgb="FFFDEBD0"/>
      <rgbColor rgb="FFF2F2F2"/>
      <rgbColor rgb="FFF9FBFD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7D4E00"/>
      <rgbColor rgb="FF993366"/>
      <rgbColor rgb="FF1A4A8A"/>
      <rgbColor rgb="FF1A5E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5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8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</row>
    <row r="5" customFormat="false" ht="27.75" hidden="false" customHeight="true" outlineLevel="0" collapsed="false">
      <c r="A5" s="5" t="n">
        <v>1</v>
      </c>
      <c r="B5" s="6" t="s">
        <v>12</v>
      </c>
      <c r="C5" s="7" t="s">
        <v>13</v>
      </c>
      <c r="D5" s="8" t="s">
        <v>14</v>
      </c>
      <c r="E5" s="9" t="s">
        <v>15</v>
      </c>
      <c r="F5" s="5" t="n">
        <v>3</v>
      </c>
      <c r="G5" s="10" t="s">
        <v>16</v>
      </c>
      <c r="H5" s="11" t="s">
        <v>17</v>
      </c>
      <c r="I5" s="12" t="s">
        <v>18</v>
      </c>
    </row>
    <row r="6" customFormat="false" ht="27.75" hidden="false" customHeight="true" outlineLevel="0" collapsed="false">
      <c r="A6" s="13" t="n">
        <v>2</v>
      </c>
      <c r="B6" s="14" t="s">
        <v>12</v>
      </c>
      <c r="C6" s="15" t="s">
        <v>19</v>
      </c>
      <c r="D6" s="8" t="s">
        <v>14</v>
      </c>
      <c r="E6" s="16" t="s">
        <v>20</v>
      </c>
      <c r="F6" s="13" t="n">
        <v>5</v>
      </c>
      <c r="G6" s="10" t="s">
        <v>16</v>
      </c>
      <c r="H6" s="17" t="s">
        <v>21</v>
      </c>
      <c r="I6" s="18" t="s">
        <v>18</v>
      </c>
    </row>
    <row r="7" customFormat="false" ht="27.75" hidden="false" customHeight="true" outlineLevel="0" collapsed="false">
      <c r="A7" s="5" t="n">
        <v>3</v>
      </c>
      <c r="B7" s="6" t="s">
        <v>12</v>
      </c>
      <c r="C7" s="19" t="s">
        <v>22</v>
      </c>
      <c r="D7" s="8" t="s">
        <v>14</v>
      </c>
      <c r="E7" s="9" t="s">
        <v>23</v>
      </c>
      <c r="F7" s="5" t="n">
        <v>4</v>
      </c>
      <c r="G7" s="10" t="s">
        <v>16</v>
      </c>
      <c r="H7" s="11" t="s">
        <v>24</v>
      </c>
      <c r="I7" s="12" t="s">
        <v>18</v>
      </c>
    </row>
    <row r="8" customFormat="false" ht="27.75" hidden="false" customHeight="true" outlineLevel="0" collapsed="false">
      <c r="A8" s="13" t="n">
        <v>4</v>
      </c>
      <c r="B8" s="14" t="s">
        <v>25</v>
      </c>
      <c r="C8" s="7" t="s">
        <v>13</v>
      </c>
      <c r="D8" s="8" t="s">
        <v>14</v>
      </c>
      <c r="E8" s="16" t="s">
        <v>26</v>
      </c>
      <c r="F8" s="13" t="n">
        <v>4</v>
      </c>
      <c r="G8" s="10" t="s">
        <v>16</v>
      </c>
      <c r="H8" s="17" t="s">
        <v>27</v>
      </c>
      <c r="I8" s="18" t="s">
        <v>18</v>
      </c>
    </row>
    <row r="9" customFormat="false" ht="27.75" hidden="false" customHeight="true" outlineLevel="0" collapsed="false">
      <c r="A9" s="5" t="n">
        <v>5</v>
      </c>
      <c r="B9" s="6" t="s">
        <v>28</v>
      </c>
      <c r="C9" s="19" t="s">
        <v>22</v>
      </c>
      <c r="D9" s="8" t="s">
        <v>14</v>
      </c>
      <c r="E9" s="9" t="s">
        <v>29</v>
      </c>
      <c r="F9" s="5" t="n">
        <v>3</v>
      </c>
      <c r="G9" s="10" t="s">
        <v>16</v>
      </c>
      <c r="H9" s="11" t="s">
        <v>30</v>
      </c>
      <c r="I9" s="12" t="s">
        <v>18</v>
      </c>
    </row>
    <row r="10" customFormat="false" ht="27.75" hidden="false" customHeight="true" outlineLevel="0" collapsed="false">
      <c r="A10" s="13" t="n">
        <v>6</v>
      </c>
      <c r="B10" s="14" t="s">
        <v>31</v>
      </c>
      <c r="C10" s="15" t="s">
        <v>19</v>
      </c>
      <c r="D10" s="20" t="s">
        <v>32</v>
      </c>
      <c r="E10" s="16" t="s">
        <v>33</v>
      </c>
      <c r="F10" s="13" t="n">
        <v>5</v>
      </c>
      <c r="G10" s="10" t="s">
        <v>16</v>
      </c>
      <c r="H10" s="17" t="s">
        <v>34</v>
      </c>
      <c r="I10" s="18" t="s">
        <v>18</v>
      </c>
    </row>
    <row r="11" customFormat="false" ht="27.75" hidden="false" customHeight="true" outlineLevel="0" collapsed="false">
      <c r="A11" s="5" t="n">
        <v>7</v>
      </c>
      <c r="B11" s="6" t="s">
        <v>35</v>
      </c>
      <c r="C11" s="15" t="s">
        <v>19</v>
      </c>
      <c r="D11" s="20" t="s">
        <v>32</v>
      </c>
      <c r="E11" s="9" t="s">
        <v>36</v>
      </c>
      <c r="F11" s="5" t="n">
        <v>4</v>
      </c>
      <c r="G11" s="10" t="s">
        <v>16</v>
      </c>
      <c r="H11" s="11" t="s">
        <v>37</v>
      </c>
      <c r="I11" s="12" t="s">
        <v>18</v>
      </c>
    </row>
    <row r="12" customFormat="false" ht="27.75" hidden="false" customHeight="true" outlineLevel="0" collapsed="false">
      <c r="A12" s="13" t="n">
        <v>8</v>
      </c>
      <c r="B12" s="14" t="s">
        <v>38</v>
      </c>
      <c r="C12" s="15" t="s">
        <v>19</v>
      </c>
      <c r="D12" s="20" t="s">
        <v>32</v>
      </c>
      <c r="E12" s="16" t="s">
        <v>39</v>
      </c>
      <c r="F12" s="13" t="n">
        <v>4</v>
      </c>
      <c r="G12" s="10" t="s">
        <v>16</v>
      </c>
      <c r="H12" s="17" t="s">
        <v>40</v>
      </c>
      <c r="I12" s="18" t="s">
        <v>18</v>
      </c>
    </row>
    <row r="13" customFormat="false" ht="27.75" hidden="false" customHeight="true" outlineLevel="0" collapsed="false">
      <c r="A13" s="5" t="n">
        <v>9</v>
      </c>
      <c r="B13" s="6" t="s">
        <v>41</v>
      </c>
      <c r="C13" s="15" t="s">
        <v>19</v>
      </c>
      <c r="D13" s="20" t="s">
        <v>32</v>
      </c>
      <c r="E13" s="9" t="s">
        <v>42</v>
      </c>
      <c r="F13" s="5" t="n">
        <v>3</v>
      </c>
      <c r="G13" s="10" t="s">
        <v>16</v>
      </c>
      <c r="H13" s="11" t="s">
        <v>43</v>
      </c>
      <c r="I13" s="12" t="s">
        <v>18</v>
      </c>
    </row>
    <row r="14" customFormat="false" ht="27.75" hidden="false" customHeight="true" outlineLevel="0" collapsed="false">
      <c r="A14" s="13" t="n">
        <v>10</v>
      </c>
      <c r="B14" s="14" t="s">
        <v>44</v>
      </c>
      <c r="C14" s="7" t="s">
        <v>13</v>
      </c>
      <c r="D14" s="21" t="s">
        <v>45</v>
      </c>
      <c r="E14" s="16" t="s">
        <v>46</v>
      </c>
      <c r="F14" s="13" t="n">
        <v>5</v>
      </c>
      <c r="G14" s="10" t="s">
        <v>16</v>
      </c>
      <c r="H14" s="17" t="s">
        <v>47</v>
      </c>
      <c r="I14" s="18" t="s">
        <v>18</v>
      </c>
    </row>
    <row r="15" customFormat="false" ht="27.75" hidden="false" customHeight="true" outlineLevel="0" collapsed="false">
      <c r="A15" s="5" t="n">
        <v>11</v>
      </c>
      <c r="B15" s="6" t="s">
        <v>48</v>
      </c>
      <c r="C15" s="7" t="s">
        <v>13</v>
      </c>
      <c r="D15" s="21" t="s">
        <v>45</v>
      </c>
      <c r="E15" s="9" t="s">
        <v>49</v>
      </c>
      <c r="F15" s="5" t="n">
        <v>4</v>
      </c>
      <c r="G15" s="10" t="s">
        <v>16</v>
      </c>
      <c r="H15" s="11" t="s">
        <v>50</v>
      </c>
      <c r="I15" s="12" t="s">
        <v>18</v>
      </c>
    </row>
    <row r="16" customFormat="false" ht="27.75" hidden="false" customHeight="true" outlineLevel="0" collapsed="false">
      <c r="A16" s="13" t="n">
        <v>12</v>
      </c>
      <c r="B16" s="14" t="s">
        <v>51</v>
      </c>
      <c r="C16" s="7" t="s">
        <v>13</v>
      </c>
      <c r="D16" s="21" t="s">
        <v>45</v>
      </c>
      <c r="E16" s="16" t="s">
        <v>52</v>
      </c>
      <c r="F16" s="13" t="n">
        <v>5</v>
      </c>
      <c r="G16" s="10" t="s">
        <v>16</v>
      </c>
      <c r="H16" s="17" t="s">
        <v>53</v>
      </c>
      <c r="I16" s="18" t="s">
        <v>18</v>
      </c>
    </row>
    <row r="17" customFormat="false" ht="27.75" hidden="false" customHeight="true" outlineLevel="0" collapsed="false">
      <c r="A17" s="5" t="n">
        <v>13</v>
      </c>
      <c r="B17" s="6" t="s">
        <v>54</v>
      </c>
      <c r="C17" s="19" t="s">
        <v>22</v>
      </c>
      <c r="D17" s="20" t="s">
        <v>32</v>
      </c>
      <c r="E17" s="9" t="s">
        <v>55</v>
      </c>
      <c r="F17" s="5" t="n">
        <v>4</v>
      </c>
      <c r="G17" s="10" t="s">
        <v>16</v>
      </c>
      <c r="H17" s="11" t="s">
        <v>56</v>
      </c>
      <c r="I17" s="12" t="s">
        <v>18</v>
      </c>
    </row>
    <row r="18" customFormat="false" ht="27.75" hidden="false" customHeight="true" outlineLevel="0" collapsed="false">
      <c r="A18" s="13" t="n">
        <v>14</v>
      </c>
      <c r="B18" s="14" t="s">
        <v>57</v>
      </c>
      <c r="C18" s="19" t="s">
        <v>22</v>
      </c>
      <c r="D18" s="20" t="s">
        <v>32</v>
      </c>
      <c r="E18" s="16" t="s">
        <v>58</v>
      </c>
      <c r="F18" s="13" t="n">
        <v>3</v>
      </c>
      <c r="G18" s="10" t="s">
        <v>16</v>
      </c>
      <c r="H18" s="17" t="s">
        <v>43</v>
      </c>
      <c r="I18" s="18" t="s">
        <v>18</v>
      </c>
    </row>
    <row r="19" customFormat="false" ht="27.75" hidden="false" customHeight="true" outlineLevel="0" collapsed="false">
      <c r="A19" s="5" t="n">
        <v>15</v>
      </c>
      <c r="B19" s="6" t="s">
        <v>59</v>
      </c>
      <c r="C19" s="7" t="s">
        <v>13</v>
      </c>
      <c r="D19" s="21" t="s">
        <v>45</v>
      </c>
      <c r="E19" s="9" t="s">
        <v>60</v>
      </c>
      <c r="F19" s="5" t="n">
        <v>5</v>
      </c>
      <c r="G19" s="10" t="s">
        <v>16</v>
      </c>
      <c r="H19" s="11" t="s">
        <v>43</v>
      </c>
      <c r="I19" s="12" t="s">
        <v>61</v>
      </c>
    </row>
    <row r="20" customFormat="false" ht="27.75" hidden="false" customHeight="true" outlineLevel="0" collapsed="false">
      <c r="A20" s="13" t="n">
        <v>16</v>
      </c>
      <c r="B20" s="14" t="s">
        <v>59</v>
      </c>
      <c r="C20" s="15" t="s">
        <v>19</v>
      </c>
      <c r="D20" s="20" t="s">
        <v>32</v>
      </c>
      <c r="E20" s="16" t="s">
        <v>62</v>
      </c>
      <c r="F20" s="13" t="n">
        <v>6</v>
      </c>
      <c r="G20" s="10" t="s">
        <v>16</v>
      </c>
      <c r="H20" s="17" t="s">
        <v>63</v>
      </c>
      <c r="I20" s="18" t="s">
        <v>61</v>
      </c>
    </row>
    <row r="21" customFormat="false" ht="27.75" hidden="false" customHeight="true" outlineLevel="0" collapsed="false">
      <c r="A21" s="5" t="n">
        <v>17</v>
      </c>
      <c r="B21" s="6" t="s">
        <v>64</v>
      </c>
      <c r="C21" s="7" t="s">
        <v>13</v>
      </c>
      <c r="D21" s="21" t="s">
        <v>45</v>
      </c>
      <c r="E21" s="9" t="s">
        <v>65</v>
      </c>
      <c r="F21" s="5" t="n">
        <v>4</v>
      </c>
      <c r="G21" s="10" t="s">
        <v>16</v>
      </c>
      <c r="H21" s="11" t="s">
        <v>66</v>
      </c>
      <c r="I21" s="12" t="s">
        <v>61</v>
      </c>
    </row>
    <row r="22" customFormat="false" ht="27.75" hidden="false" customHeight="true" outlineLevel="0" collapsed="false">
      <c r="A22" s="13" t="n">
        <v>18</v>
      </c>
      <c r="B22" s="14" t="s">
        <v>67</v>
      </c>
      <c r="C22" s="7" t="s">
        <v>13</v>
      </c>
      <c r="D22" s="21" t="s">
        <v>45</v>
      </c>
      <c r="E22" s="16" t="s">
        <v>68</v>
      </c>
      <c r="F22" s="13" t="n">
        <v>6</v>
      </c>
      <c r="G22" s="10" t="s">
        <v>16</v>
      </c>
      <c r="H22" s="17" t="s">
        <v>69</v>
      </c>
      <c r="I22" s="18" t="s">
        <v>61</v>
      </c>
    </row>
    <row r="23" customFormat="false" ht="27.75" hidden="false" customHeight="true" outlineLevel="0" collapsed="false">
      <c r="A23" s="5" t="n">
        <v>19</v>
      </c>
      <c r="B23" s="6" t="s">
        <v>70</v>
      </c>
      <c r="C23" s="15" t="s">
        <v>19</v>
      </c>
      <c r="D23" s="20" t="s">
        <v>32</v>
      </c>
      <c r="E23" s="9" t="s">
        <v>71</v>
      </c>
      <c r="F23" s="5" t="n">
        <v>5</v>
      </c>
      <c r="G23" s="10" t="s">
        <v>16</v>
      </c>
      <c r="H23" s="11" t="s">
        <v>72</v>
      </c>
      <c r="I23" s="12" t="s">
        <v>61</v>
      </c>
    </row>
    <row r="24" customFormat="false" ht="27.75" hidden="false" customHeight="true" outlineLevel="0" collapsed="false">
      <c r="A24" s="13" t="n">
        <v>20</v>
      </c>
      <c r="B24" s="14" t="s">
        <v>73</v>
      </c>
      <c r="C24" s="19" t="s">
        <v>22</v>
      </c>
      <c r="D24" s="20" t="s">
        <v>32</v>
      </c>
      <c r="E24" s="16" t="s">
        <v>74</v>
      </c>
      <c r="F24" s="13" t="n">
        <v>6</v>
      </c>
      <c r="G24" s="10" t="s">
        <v>16</v>
      </c>
      <c r="H24" s="17" t="s">
        <v>75</v>
      </c>
      <c r="I24" s="18" t="s">
        <v>61</v>
      </c>
    </row>
    <row r="25" customFormat="false" ht="27.75" hidden="false" customHeight="true" outlineLevel="0" collapsed="false">
      <c r="A25" s="5" t="n">
        <v>21</v>
      </c>
      <c r="B25" s="6" t="s">
        <v>76</v>
      </c>
      <c r="C25" s="15" t="s">
        <v>19</v>
      </c>
      <c r="D25" s="20" t="s">
        <v>32</v>
      </c>
      <c r="E25" s="9" t="s">
        <v>77</v>
      </c>
      <c r="F25" s="5" t="n">
        <v>4</v>
      </c>
      <c r="G25" s="10" t="s">
        <v>16</v>
      </c>
      <c r="H25" s="11" t="s">
        <v>43</v>
      </c>
      <c r="I25" s="12" t="s">
        <v>61</v>
      </c>
    </row>
    <row r="26" customFormat="false" ht="27.75" hidden="false" customHeight="true" outlineLevel="0" collapsed="false">
      <c r="A26" s="13" t="n">
        <v>22</v>
      </c>
      <c r="B26" s="14" t="s">
        <v>78</v>
      </c>
      <c r="C26" s="7" t="s">
        <v>13</v>
      </c>
      <c r="D26" s="21" t="s">
        <v>45</v>
      </c>
      <c r="E26" s="16" t="s">
        <v>79</v>
      </c>
      <c r="F26" s="13" t="n">
        <v>5</v>
      </c>
      <c r="G26" s="10" t="s">
        <v>16</v>
      </c>
      <c r="H26" s="17" t="s">
        <v>80</v>
      </c>
      <c r="I26" s="18" t="s">
        <v>61</v>
      </c>
    </row>
    <row r="27" customFormat="false" ht="27.75" hidden="false" customHeight="true" outlineLevel="0" collapsed="false">
      <c r="A27" s="5" t="n">
        <v>23</v>
      </c>
      <c r="B27" s="6" t="s">
        <v>81</v>
      </c>
      <c r="C27" s="7" t="s">
        <v>13</v>
      </c>
      <c r="D27" s="21" t="s">
        <v>45</v>
      </c>
      <c r="E27" s="9" t="s">
        <v>82</v>
      </c>
      <c r="F27" s="5" t="n">
        <v>7</v>
      </c>
      <c r="G27" s="10" t="s">
        <v>16</v>
      </c>
      <c r="H27" s="11" t="s">
        <v>83</v>
      </c>
      <c r="I27" s="12" t="s">
        <v>61</v>
      </c>
    </row>
    <row r="28" customFormat="false" ht="27.75" hidden="false" customHeight="true" outlineLevel="0" collapsed="false">
      <c r="A28" s="13" t="n">
        <v>24</v>
      </c>
      <c r="B28" s="14" t="s">
        <v>81</v>
      </c>
      <c r="C28" s="19" t="s">
        <v>22</v>
      </c>
      <c r="D28" s="20" t="s">
        <v>32</v>
      </c>
      <c r="E28" s="16" t="s">
        <v>84</v>
      </c>
      <c r="F28" s="13" t="n">
        <v>5</v>
      </c>
      <c r="G28" s="10" t="s">
        <v>16</v>
      </c>
      <c r="H28" s="17" t="s">
        <v>43</v>
      </c>
      <c r="I28" s="18" t="s">
        <v>61</v>
      </c>
    </row>
    <row r="29" customFormat="false" ht="27.75" hidden="false" customHeight="true" outlineLevel="0" collapsed="false">
      <c r="A29" s="5" t="n">
        <v>25</v>
      </c>
      <c r="B29" s="6" t="s">
        <v>85</v>
      </c>
      <c r="C29" s="19" t="s">
        <v>22</v>
      </c>
      <c r="D29" s="20" t="s">
        <v>32</v>
      </c>
      <c r="E29" s="9" t="s">
        <v>86</v>
      </c>
      <c r="F29" s="5" t="n">
        <v>4</v>
      </c>
      <c r="G29" s="10" t="s">
        <v>16</v>
      </c>
      <c r="H29" s="11" t="s">
        <v>43</v>
      </c>
      <c r="I29" s="12" t="s">
        <v>61</v>
      </c>
    </row>
    <row r="30" customFormat="false" ht="27.75" hidden="false" customHeight="true" outlineLevel="0" collapsed="false">
      <c r="A30" s="13" t="n">
        <v>26</v>
      </c>
      <c r="B30" s="14" t="s">
        <v>87</v>
      </c>
      <c r="C30" s="15" t="s">
        <v>19</v>
      </c>
      <c r="D30" s="20" t="s">
        <v>32</v>
      </c>
      <c r="E30" s="16" t="s">
        <v>88</v>
      </c>
      <c r="F30" s="13" t="n">
        <v>4</v>
      </c>
      <c r="G30" s="10" t="s">
        <v>16</v>
      </c>
      <c r="H30" s="17" t="s">
        <v>89</v>
      </c>
      <c r="I30" s="18" t="s">
        <v>61</v>
      </c>
    </row>
    <row r="31" customFormat="false" ht="18" hidden="false" customHeight="true" outlineLevel="0" collapsed="false">
      <c r="A31" s="4" t="s">
        <v>90</v>
      </c>
      <c r="B31" s="4"/>
      <c r="C31" s="4"/>
      <c r="D31" s="4"/>
      <c r="E31" s="4"/>
      <c r="F31" s="4"/>
      <c r="G31" s="4"/>
      <c r="H31" s="4"/>
      <c r="I31" s="4"/>
    </row>
    <row r="32" customFormat="false" ht="27.75" hidden="false" customHeight="true" outlineLevel="0" collapsed="false">
      <c r="A32" s="5" t="n">
        <v>27</v>
      </c>
      <c r="B32" s="6" t="s">
        <v>91</v>
      </c>
      <c r="C32" s="19" t="s">
        <v>22</v>
      </c>
      <c r="D32" s="20" t="s">
        <v>32</v>
      </c>
      <c r="E32" s="9" t="s">
        <v>92</v>
      </c>
      <c r="F32" s="5" t="n">
        <v>4</v>
      </c>
      <c r="G32" s="10" t="s">
        <v>16</v>
      </c>
      <c r="H32" s="11" t="s">
        <v>43</v>
      </c>
      <c r="I32" s="12" t="s">
        <v>93</v>
      </c>
    </row>
    <row r="33" customFormat="false" ht="27.75" hidden="false" customHeight="true" outlineLevel="0" collapsed="false">
      <c r="A33" s="13" t="n">
        <v>28</v>
      </c>
      <c r="B33" s="14" t="s">
        <v>94</v>
      </c>
      <c r="C33" s="7" t="s">
        <v>13</v>
      </c>
      <c r="D33" s="21" t="s">
        <v>45</v>
      </c>
      <c r="E33" s="16" t="s">
        <v>95</v>
      </c>
      <c r="F33" s="13" t="n">
        <v>6</v>
      </c>
      <c r="G33" s="10" t="s">
        <v>16</v>
      </c>
      <c r="H33" s="17" t="s">
        <v>43</v>
      </c>
      <c r="I33" s="18" t="s">
        <v>93</v>
      </c>
    </row>
    <row r="34" customFormat="false" ht="27.75" hidden="false" customHeight="true" outlineLevel="0" collapsed="false">
      <c r="A34" s="5" t="n">
        <v>29</v>
      </c>
      <c r="B34" s="6" t="s">
        <v>94</v>
      </c>
      <c r="C34" s="15" t="s">
        <v>19</v>
      </c>
      <c r="D34" s="20" t="s">
        <v>32</v>
      </c>
      <c r="E34" s="9" t="s">
        <v>96</v>
      </c>
      <c r="F34" s="5" t="n">
        <v>6</v>
      </c>
      <c r="G34" s="10" t="s">
        <v>16</v>
      </c>
      <c r="H34" s="11" t="s">
        <v>43</v>
      </c>
      <c r="I34" s="12" t="s">
        <v>93</v>
      </c>
    </row>
    <row r="35" customFormat="false" ht="27.75" hidden="false" customHeight="true" outlineLevel="0" collapsed="false">
      <c r="A35" s="13" t="n">
        <v>30</v>
      </c>
      <c r="B35" s="14" t="s">
        <v>97</v>
      </c>
      <c r="C35" s="7" t="s">
        <v>13</v>
      </c>
      <c r="D35" s="21" t="s">
        <v>45</v>
      </c>
      <c r="E35" s="16" t="s">
        <v>98</v>
      </c>
      <c r="F35" s="13" t="n">
        <v>5</v>
      </c>
      <c r="G35" s="10" t="s">
        <v>16</v>
      </c>
      <c r="H35" s="17" t="s">
        <v>43</v>
      </c>
      <c r="I35" s="18" t="s">
        <v>93</v>
      </c>
    </row>
    <row r="36" customFormat="false" ht="27.75" hidden="false" customHeight="true" outlineLevel="0" collapsed="false">
      <c r="A36" s="5" t="n">
        <v>31</v>
      </c>
      <c r="B36" s="6" t="s">
        <v>99</v>
      </c>
      <c r="C36" s="15" t="s">
        <v>19</v>
      </c>
      <c r="D36" s="20" t="s">
        <v>32</v>
      </c>
      <c r="E36" s="9" t="s">
        <v>100</v>
      </c>
      <c r="F36" s="5" t="n">
        <v>4</v>
      </c>
      <c r="G36" s="10" t="s">
        <v>16</v>
      </c>
      <c r="H36" s="11" t="s">
        <v>43</v>
      </c>
      <c r="I36" s="12" t="s">
        <v>93</v>
      </c>
    </row>
    <row r="37" customFormat="false" ht="27.75" hidden="false" customHeight="true" outlineLevel="0" collapsed="false">
      <c r="A37" s="13" t="n">
        <v>32</v>
      </c>
      <c r="B37" s="14" t="s">
        <v>101</v>
      </c>
      <c r="C37" s="19" t="s">
        <v>22</v>
      </c>
      <c r="D37" s="20" t="s">
        <v>32</v>
      </c>
      <c r="E37" s="16" t="s">
        <v>102</v>
      </c>
      <c r="F37" s="13" t="n">
        <v>3</v>
      </c>
      <c r="G37" s="10" t="s">
        <v>16</v>
      </c>
      <c r="H37" s="17" t="s">
        <v>43</v>
      </c>
      <c r="I37" s="18" t="s">
        <v>93</v>
      </c>
    </row>
    <row r="38" customFormat="false" ht="27.75" hidden="false" customHeight="true" outlineLevel="0" collapsed="false">
      <c r="A38" s="5" t="n">
        <v>33</v>
      </c>
      <c r="B38" s="6" t="s">
        <v>103</v>
      </c>
      <c r="C38" s="7" t="s">
        <v>13</v>
      </c>
      <c r="D38" s="21" t="s">
        <v>45</v>
      </c>
      <c r="E38" s="9" t="s">
        <v>104</v>
      </c>
      <c r="F38" s="5" t="n">
        <v>3</v>
      </c>
      <c r="G38" s="10" t="s">
        <v>16</v>
      </c>
      <c r="H38" s="11" t="s">
        <v>43</v>
      </c>
      <c r="I38" s="12" t="s">
        <v>93</v>
      </c>
    </row>
    <row r="39" customFormat="false" ht="27.75" hidden="false" customHeight="true" outlineLevel="0" collapsed="false">
      <c r="A39" s="13" t="n">
        <v>34</v>
      </c>
      <c r="B39" s="14" t="s">
        <v>105</v>
      </c>
      <c r="C39" s="7" t="s">
        <v>13</v>
      </c>
      <c r="D39" s="21" t="s">
        <v>45</v>
      </c>
      <c r="E39" s="16" t="s">
        <v>106</v>
      </c>
      <c r="F39" s="13" t="n">
        <v>7</v>
      </c>
      <c r="G39" s="10" t="s">
        <v>16</v>
      </c>
      <c r="H39" s="17" t="s">
        <v>107</v>
      </c>
      <c r="I39" s="18" t="s">
        <v>93</v>
      </c>
    </row>
    <row r="40" customFormat="false" ht="27.75" hidden="false" customHeight="true" outlineLevel="0" collapsed="false">
      <c r="A40" s="5" t="n">
        <v>35</v>
      </c>
      <c r="B40" s="6" t="s">
        <v>105</v>
      </c>
      <c r="C40" s="15" t="s">
        <v>19</v>
      </c>
      <c r="D40" s="20" t="s">
        <v>32</v>
      </c>
      <c r="E40" s="9" t="s">
        <v>108</v>
      </c>
      <c r="F40" s="5" t="n">
        <v>5</v>
      </c>
      <c r="G40" s="10" t="s">
        <v>16</v>
      </c>
      <c r="H40" s="11" t="s">
        <v>43</v>
      </c>
      <c r="I40" s="12" t="s">
        <v>93</v>
      </c>
    </row>
    <row r="41" customFormat="false" ht="27.75" hidden="false" customHeight="true" outlineLevel="0" collapsed="false">
      <c r="A41" s="13" t="n">
        <v>36</v>
      </c>
      <c r="B41" s="14" t="s">
        <v>109</v>
      </c>
      <c r="C41" s="7" t="s">
        <v>13</v>
      </c>
      <c r="D41" s="21" t="s">
        <v>45</v>
      </c>
      <c r="E41" s="16" t="s">
        <v>110</v>
      </c>
      <c r="F41" s="13" t="n">
        <v>7</v>
      </c>
      <c r="G41" s="10" t="s">
        <v>16</v>
      </c>
      <c r="H41" s="17" t="s">
        <v>111</v>
      </c>
      <c r="I41" s="18" t="s">
        <v>93</v>
      </c>
    </row>
    <row r="42" customFormat="false" ht="27.75" hidden="false" customHeight="true" outlineLevel="0" collapsed="false">
      <c r="A42" s="5" t="n">
        <v>37</v>
      </c>
      <c r="B42" s="6" t="s">
        <v>112</v>
      </c>
      <c r="C42" s="7" t="s">
        <v>13</v>
      </c>
      <c r="D42" s="21" t="s">
        <v>45</v>
      </c>
      <c r="E42" s="9" t="s">
        <v>113</v>
      </c>
      <c r="F42" s="5" t="n">
        <v>5</v>
      </c>
      <c r="G42" s="10" t="s">
        <v>16</v>
      </c>
      <c r="H42" s="11" t="s">
        <v>43</v>
      </c>
      <c r="I42" s="12" t="s">
        <v>93</v>
      </c>
    </row>
    <row r="43" customFormat="false" ht="27.75" hidden="false" customHeight="true" outlineLevel="0" collapsed="false">
      <c r="A43" s="13" t="n">
        <v>38</v>
      </c>
      <c r="B43" s="14" t="s">
        <v>114</v>
      </c>
      <c r="C43" s="7" t="s">
        <v>13</v>
      </c>
      <c r="D43" s="21" t="s">
        <v>45</v>
      </c>
      <c r="E43" s="16" t="s">
        <v>115</v>
      </c>
      <c r="F43" s="13" t="n">
        <v>3</v>
      </c>
      <c r="G43" s="10" t="s">
        <v>16</v>
      </c>
      <c r="H43" s="17" t="s">
        <v>43</v>
      </c>
      <c r="I43" s="18" t="s">
        <v>93</v>
      </c>
    </row>
    <row r="44" customFormat="false" ht="27.75" hidden="false" customHeight="true" outlineLevel="0" collapsed="false">
      <c r="A44" s="5" t="n">
        <v>39</v>
      </c>
      <c r="B44" s="6" t="s">
        <v>116</v>
      </c>
      <c r="C44" s="15" t="s">
        <v>19</v>
      </c>
      <c r="D44" s="20" t="s">
        <v>32</v>
      </c>
      <c r="E44" s="9" t="s">
        <v>117</v>
      </c>
      <c r="F44" s="5" t="n">
        <v>4</v>
      </c>
      <c r="G44" s="10" t="s">
        <v>16</v>
      </c>
      <c r="H44" s="11" t="s">
        <v>118</v>
      </c>
      <c r="I44" s="12" t="s">
        <v>119</v>
      </c>
    </row>
    <row r="45" customFormat="false" ht="27.75" hidden="false" customHeight="true" outlineLevel="0" collapsed="false">
      <c r="A45" s="13" t="n">
        <v>40</v>
      </c>
      <c r="B45" s="14" t="s">
        <v>116</v>
      </c>
      <c r="C45" s="15" t="s">
        <v>19</v>
      </c>
      <c r="D45" s="20" t="s">
        <v>32</v>
      </c>
      <c r="E45" s="16" t="s">
        <v>120</v>
      </c>
      <c r="F45" s="13" t="n">
        <v>5</v>
      </c>
      <c r="G45" s="10" t="s">
        <v>16</v>
      </c>
      <c r="H45" s="17" t="s">
        <v>43</v>
      </c>
      <c r="I45" s="18" t="s">
        <v>119</v>
      </c>
    </row>
    <row r="46" customFormat="false" ht="27.75" hidden="false" customHeight="true" outlineLevel="0" collapsed="false">
      <c r="A46" s="5" t="n">
        <v>41</v>
      </c>
      <c r="B46" s="6" t="s">
        <v>116</v>
      </c>
      <c r="C46" s="15" t="s">
        <v>19</v>
      </c>
      <c r="D46" s="20" t="s">
        <v>32</v>
      </c>
      <c r="E46" s="9" t="s">
        <v>121</v>
      </c>
      <c r="F46" s="5" t="n">
        <v>4</v>
      </c>
      <c r="G46" s="10" t="s">
        <v>16</v>
      </c>
      <c r="H46" s="11" t="s">
        <v>43</v>
      </c>
      <c r="I46" s="12" t="s">
        <v>119</v>
      </c>
    </row>
    <row r="47" customFormat="false" ht="27.75" hidden="false" customHeight="true" outlineLevel="0" collapsed="false">
      <c r="A47" s="13" t="n">
        <v>42</v>
      </c>
      <c r="B47" s="14" t="s">
        <v>122</v>
      </c>
      <c r="C47" s="7" t="s">
        <v>13</v>
      </c>
      <c r="D47" s="21" t="s">
        <v>45</v>
      </c>
      <c r="E47" s="16" t="s">
        <v>123</v>
      </c>
      <c r="F47" s="13" t="n">
        <v>7</v>
      </c>
      <c r="G47" s="10" t="s">
        <v>16</v>
      </c>
      <c r="H47" s="17" t="s">
        <v>124</v>
      </c>
      <c r="I47" s="18" t="s">
        <v>119</v>
      </c>
    </row>
    <row r="48" customFormat="false" ht="27.75" hidden="false" customHeight="true" outlineLevel="0" collapsed="false">
      <c r="A48" s="5" t="n">
        <v>43</v>
      </c>
      <c r="B48" s="6" t="s">
        <v>122</v>
      </c>
      <c r="C48" s="19" t="s">
        <v>22</v>
      </c>
      <c r="D48" s="20" t="s">
        <v>32</v>
      </c>
      <c r="E48" s="9" t="s">
        <v>125</v>
      </c>
      <c r="F48" s="5" t="n">
        <v>7</v>
      </c>
      <c r="G48" s="10" t="s">
        <v>16</v>
      </c>
      <c r="H48" s="11" t="s">
        <v>43</v>
      </c>
      <c r="I48" s="12" t="s">
        <v>119</v>
      </c>
    </row>
    <row r="49" customFormat="false" ht="27.75" hidden="false" customHeight="true" outlineLevel="0" collapsed="false">
      <c r="A49" s="13" t="n">
        <v>44</v>
      </c>
      <c r="B49" s="14" t="s">
        <v>126</v>
      </c>
      <c r="C49" s="15" t="s">
        <v>19</v>
      </c>
      <c r="D49" s="20" t="s">
        <v>32</v>
      </c>
      <c r="E49" s="16" t="s">
        <v>127</v>
      </c>
      <c r="F49" s="13" t="n">
        <v>2</v>
      </c>
      <c r="G49" s="10" t="s">
        <v>16</v>
      </c>
      <c r="H49" s="17" t="s">
        <v>43</v>
      </c>
      <c r="I49" s="18" t="s">
        <v>119</v>
      </c>
    </row>
    <row r="50" customFormat="false" ht="27.75" hidden="false" customHeight="true" outlineLevel="0" collapsed="false">
      <c r="A50" s="5" t="n">
        <v>45</v>
      </c>
      <c r="B50" s="6" t="s">
        <v>128</v>
      </c>
      <c r="C50" s="7" t="s">
        <v>13</v>
      </c>
      <c r="D50" s="21" t="s">
        <v>45</v>
      </c>
      <c r="E50" s="9" t="s">
        <v>129</v>
      </c>
      <c r="F50" s="5" t="n">
        <v>4</v>
      </c>
      <c r="G50" s="10" t="s">
        <v>16</v>
      </c>
      <c r="H50" s="11" t="s">
        <v>43</v>
      </c>
      <c r="I50" s="12" t="s">
        <v>119</v>
      </c>
    </row>
    <row r="51" customFormat="false" ht="27.75" hidden="false" customHeight="true" outlineLevel="0" collapsed="false">
      <c r="A51" s="13" t="n">
        <v>46</v>
      </c>
      <c r="B51" s="14" t="s">
        <v>130</v>
      </c>
      <c r="C51" s="7" t="s">
        <v>13</v>
      </c>
      <c r="D51" s="21" t="s">
        <v>45</v>
      </c>
      <c r="E51" s="16" t="s">
        <v>131</v>
      </c>
      <c r="F51" s="13" t="n">
        <v>4</v>
      </c>
      <c r="G51" s="10" t="s">
        <v>16</v>
      </c>
      <c r="H51" s="17" t="s">
        <v>43</v>
      </c>
      <c r="I51" s="18" t="s">
        <v>119</v>
      </c>
    </row>
    <row r="52" customFormat="false" ht="27.75" hidden="false" customHeight="true" outlineLevel="0" collapsed="false">
      <c r="A52" s="5" t="n">
        <v>47</v>
      </c>
      <c r="B52" s="6" t="s">
        <v>130</v>
      </c>
      <c r="C52" s="19" t="s">
        <v>22</v>
      </c>
      <c r="D52" s="20" t="s">
        <v>32</v>
      </c>
      <c r="E52" s="9" t="s">
        <v>132</v>
      </c>
      <c r="F52" s="5" t="n">
        <v>4</v>
      </c>
      <c r="G52" s="10" t="s">
        <v>16</v>
      </c>
      <c r="H52" s="11" t="s">
        <v>133</v>
      </c>
      <c r="I52" s="12" t="s">
        <v>119</v>
      </c>
    </row>
    <row r="53" customFormat="false" ht="27.75" hidden="false" customHeight="true" outlineLevel="0" collapsed="false">
      <c r="A53" s="13" t="n">
        <v>48</v>
      </c>
      <c r="B53" s="14" t="s">
        <v>134</v>
      </c>
      <c r="C53" s="7" t="s">
        <v>13</v>
      </c>
      <c r="D53" s="21" t="s">
        <v>45</v>
      </c>
      <c r="E53" s="16" t="s">
        <v>135</v>
      </c>
      <c r="F53" s="13" t="n">
        <v>6</v>
      </c>
      <c r="G53" s="10" t="s">
        <v>16</v>
      </c>
      <c r="H53" s="17" t="s">
        <v>136</v>
      </c>
      <c r="I53" s="18" t="s">
        <v>119</v>
      </c>
    </row>
    <row r="54" customFormat="false" ht="27.75" hidden="false" customHeight="true" outlineLevel="0" collapsed="false">
      <c r="A54" s="5" t="n">
        <v>49</v>
      </c>
      <c r="B54" s="6" t="s">
        <v>134</v>
      </c>
      <c r="C54" s="15" t="s">
        <v>19</v>
      </c>
      <c r="D54" s="20" t="s">
        <v>32</v>
      </c>
      <c r="E54" s="9" t="s">
        <v>137</v>
      </c>
      <c r="F54" s="5" t="n">
        <v>4</v>
      </c>
      <c r="G54" s="10" t="s">
        <v>16</v>
      </c>
      <c r="H54" s="11" t="s">
        <v>43</v>
      </c>
      <c r="I54" s="12" t="s">
        <v>119</v>
      </c>
    </row>
    <row r="55" customFormat="false" ht="27.75" hidden="false" customHeight="true" outlineLevel="0" collapsed="false">
      <c r="A55" s="13" t="n">
        <v>50</v>
      </c>
      <c r="B55" s="14" t="s">
        <v>134</v>
      </c>
      <c r="C55" s="19" t="s">
        <v>22</v>
      </c>
      <c r="D55" s="20" t="s">
        <v>32</v>
      </c>
      <c r="E55" s="16" t="s">
        <v>138</v>
      </c>
      <c r="F55" s="13" t="n">
        <v>4</v>
      </c>
      <c r="G55" s="10" t="s">
        <v>16</v>
      </c>
      <c r="H55" s="17" t="s">
        <v>43</v>
      </c>
      <c r="I55" s="18" t="s">
        <v>119</v>
      </c>
    </row>
    <row r="56" customFormat="false" ht="27.75" hidden="false" customHeight="true" outlineLevel="0" collapsed="false">
      <c r="A56" s="5" t="n">
        <v>51</v>
      </c>
      <c r="B56" s="6" t="s">
        <v>139</v>
      </c>
      <c r="C56" s="7" t="s">
        <v>13</v>
      </c>
      <c r="D56" s="21" t="s">
        <v>45</v>
      </c>
      <c r="E56" s="9" t="s">
        <v>140</v>
      </c>
      <c r="F56" s="5" t="n">
        <v>3</v>
      </c>
      <c r="G56" s="10" t="s">
        <v>16</v>
      </c>
      <c r="H56" s="11" t="s">
        <v>43</v>
      </c>
      <c r="I56" s="12" t="s">
        <v>119</v>
      </c>
    </row>
    <row r="57" customFormat="false" ht="27.75" hidden="false" customHeight="true" outlineLevel="0" collapsed="false">
      <c r="A57" s="13" t="n">
        <v>52</v>
      </c>
      <c r="B57" s="14" t="s">
        <v>139</v>
      </c>
      <c r="C57" s="15" t="s">
        <v>19</v>
      </c>
      <c r="D57" s="20" t="s">
        <v>32</v>
      </c>
      <c r="E57" s="16" t="s">
        <v>141</v>
      </c>
      <c r="F57" s="13" t="n">
        <v>5</v>
      </c>
      <c r="G57" s="10" t="s">
        <v>16</v>
      </c>
      <c r="H57" s="17" t="s">
        <v>43</v>
      </c>
      <c r="I57" s="18" t="s">
        <v>119</v>
      </c>
    </row>
    <row r="58" customFormat="false" ht="27.75" hidden="false" customHeight="true" outlineLevel="0" collapsed="false">
      <c r="A58" s="5" t="n">
        <v>53</v>
      </c>
      <c r="B58" s="6" t="s">
        <v>139</v>
      </c>
      <c r="C58" s="19" t="s">
        <v>22</v>
      </c>
      <c r="D58" s="20" t="s">
        <v>32</v>
      </c>
      <c r="E58" s="9" t="s">
        <v>142</v>
      </c>
      <c r="F58" s="5" t="n">
        <v>5</v>
      </c>
      <c r="G58" s="10" t="s">
        <v>16</v>
      </c>
      <c r="H58" s="11" t="s">
        <v>43</v>
      </c>
      <c r="I58" s="12" t="s">
        <v>119</v>
      </c>
    </row>
    <row r="59" customFormat="false" ht="27.75" hidden="false" customHeight="true" outlineLevel="0" collapsed="false">
      <c r="A59" s="13" t="n">
        <v>54</v>
      </c>
      <c r="B59" s="14" t="s">
        <v>143</v>
      </c>
      <c r="C59" s="19" t="s">
        <v>22</v>
      </c>
      <c r="D59" s="20" t="s">
        <v>32</v>
      </c>
      <c r="E59" s="16" t="s">
        <v>144</v>
      </c>
      <c r="F59" s="13" t="n">
        <v>4</v>
      </c>
      <c r="G59" s="10" t="s">
        <v>16</v>
      </c>
      <c r="H59" s="17" t="s">
        <v>43</v>
      </c>
      <c r="I59" s="18" t="s">
        <v>119</v>
      </c>
    </row>
    <row r="60" customFormat="false" ht="27.75" hidden="false" customHeight="true" outlineLevel="0" collapsed="false">
      <c r="A60" s="5" t="n">
        <v>55</v>
      </c>
      <c r="B60" s="6" t="s">
        <v>145</v>
      </c>
      <c r="C60" s="15" t="s">
        <v>19</v>
      </c>
      <c r="D60" s="20" t="s">
        <v>32</v>
      </c>
      <c r="E60" s="9" t="s">
        <v>146</v>
      </c>
      <c r="F60" s="5" t="n">
        <v>3</v>
      </c>
      <c r="G60" s="10" t="s">
        <v>16</v>
      </c>
      <c r="H60" s="11" t="s">
        <v>43</v>
      </c>
      <c r="I60" s="12" t="s">
        <v>119</v>
      </c>
    </row>
    <row r="61" customFormat="false" ht="27.75" hidden="false" customHeight="true" outlineLevel="0" collapsed="false">
      <c r="A61" s="13" t="n">
        <v>56</v>
      </c>
      <c r="B61" s="14" t="s">
        <v>147</v>
      </c>
      <c r="C61" s="7" t="s">
        <v>13</v>
      </c>
      <c r="D61" s="21" t="s">
        <v>45</v>
      </c>
      <c r="E61" s="16" t="s">
        <v>148</v>
      </c>
      <c r="F61" s="13" t="n">
        <v>3</v>
      </c>
      <c r="G61" s="10" t="s">
        <v>16</v>
      </c>
      <c r="H61" s="17" t="s">
        <v>43</v>
      </c>
      <c r="I61" s="18" t="s">
        <v>119</v>
      </c>
    </row>
    <row r="62" customFormat="false" ht="27.75" hidden="false" customHeight="true" outlineLevel="0" collapsed="false">
      <c r="A62" s="5" t="n">
        <v>57</v>
      </c>
      <c r="B62" s="6" t="s">
        <v>147</v>
      </c>
      <c r="C62" s="19" t="s">
        <v>22</v>
      </c>
      <c r="D62" s="20" t="s">
        <v>32</v>
      </c>
      <c r="E62" s="9" t="s">
        <v>149</v>
      </c>
      <c r="F62" s="5" t="n">
        <v>3</v>
      </c>
      <c r="G62" s="10" t="s">
        <v>16</v>
      </c>
      <c r="H62" s="11" t="s">
        <v>150</v>
      </c>
      <c r="I62" s="12" t="s">
        <v>119</v>
      </c>
    </row>
    <row r="63" customFormat="false" ht="18" hidden="false" customHeight="true" outlineLevel="0" collapsed="false">
      <c r="A63" s="4" t="s">
        <v>151</v>
      </c>
      <c r="B63" s="4"/>
      <c r="C63" s="4"/>
      <c r="D63" s="4"/>
      <c r="E63" s="4"/>
      <c r="F63" s="4"/>
      <c r="G63" s="4"/>
      <c r="H63" s="4"/>
      <c r="I63" s="4"/>
    </row>
    <row r="64" customFormat="false" ht="27.75" hidden="false" customHeight="true" outlineLevel="0" collapsed="false">
      <c r="A64" s="13" t="n">
        <v>58</v>
      </c>
      <c r="B64" s="14" t="s">
        <v>152</v>
      </c>
      <c r="C64" s="7" t="s">
        <v>13</v>
      </c>
      <c r="D64" s="21" t="s">
        <v>45</v>
      </c>
      <c r="E64" s="16" t="s">
        <v>153</v>
      </c>
      <c r="F64" s="13" t="n">
        <v>5</v>
      </c>
      <c r="G64" s="10" t="s">
        <v>16</v>
      </c>
      <c r="H64" s="17" t="s">
        <v>43</v>
      </c>
      <c r="I64" s="18" t="s">
        <v>154</v>
      </c>
    </row>
    <row r="65" customFormat="false" ht="27.75" hidden="false" customHeight="true" outlineLevel="0" collapsed="false">
      <c r="A65" s="5" t="n">
        <v>59</v>
      </c>
      <c r="B65" s="6" t="s">
        <v>155</v>
      </c>
      <c r="C65" s="7" t="s">
        <v>13</v>
      </c>
      <c r="D65" s="21" t="s">
        <v>45</v>
      </c>
      <c r="E65" s="9" t="s">
        <v>156</v>
      </c>
      <c r="F65" s="5" t="n">
        <v>4</v>
      </c>
      <c r="G65" s="10" t="s">
        <v>16</v>
      </c>
      <c r="H65" s="11" t="s">
        <v>43</v>
      </c>
      <c r="I65" s="12" t="s">
        <v>154</v>
      </c>
    </row>
    <row r="66" customFormat="false" ht="27.75" hidden="false" customHeight="true" outlineLevel="0" collapsed="false">
      <c r="A66" s="13" t="n">
        <v>60</v>
      </c>
      <c r="B66" s="14" t="s">
        <v>157</v>
      </c>
      <c r="C66" s="7" t="s">
        <v>13</v>
      </c>
      <c r="D66" s="21" t="s">
        <v>45</v>
      </c>
      <c r="E66" s="16" t="s">
        <v>158</v>
      </c>
      <c r="F66" s="13" t="n">
        <v>5</v>
      </c>
      <c r="G66" s="10" t="s">
        <v>16</v>
      </c>
      <c r="H66" s="17" t="s">
        <v>43</v>
      </c>
      <c r="I66" s="18" t="s">
        <v>154</v>
      </c>
    </row>
    <row r="67" customFormat="false" ht="27.75" hidden="false" customHeight="true" outlineLevel="0" collapsed="false">
      <c r="A67" s="5" t="n">
        <v>61</v>
      </c>
      <c r="B67" s="6" t="s">
        <v>157</v>
      </c>
      <c r="C67" s="7" t="s">
        <v>13</v>
      </c>
      <c r="D67" s="21" t="s">
        <v>45</v>
      </c>
      <c r="E67" s="9" t="s">
        <v>159</v>
      </c>
      <c r="F67" s="5" t="n">
        <v>5</v>
      </c>
      <c r="G67" s="10" t="s">
        <v>16</v>
      </c>
      <c r="H67" s="11" t="s">
        <v>160</v>
      </c>
      <c r="I67" s="12" t="s">
        <v>154</v>
      </c>
    </row>
    <row r="68" customFormat="false" ht="27.75" hidden="false" customHeight="true" outlineLevel="0" collapsed="false">
      <c r="A68" s="13" t="n">
        <v>62</v>
      </c>
      <c r="B68" s="14" t="s">
        <v>161</v>
      </c>
      <c r="C68" s="7" t="s">
        <v>13</v>
      </c>
      <c r="D68" s="21" t="s">
        <v>45</v>
      </c>
      <c r="E68" s="16" t="s">
        <v>162</v>
      </c>
      <c r="F68" s="13" t="n">
        <v>3</v>
      </c>
      <c r="G68" s="10" t="s">
        <v>16</v>
      </c>
      <c r="H68" s="17" t="s">
        <v>163</v>
      </c>
      <c r="I68" s="18" t="s">
        <v>154</v>
      </c>
    </row>
    <row r="69" customFormat="false" ht="27.75" hidden="false" customHeight="true" outlineLevel="0" collapsed="false">
      <c r="A69" s="5" t="n">
        <v>63</v>
      </c>
      <c r="B69" s="6" t="s">
        <v>164</v>
      </c>
      <c r="C69" s="7" t="s">
        <v>13</v>
      </c>
      <c r="D69" s="21" t="s">
        <v>45</v>
      </c>
      <c r="E69" s="9" t="s">
        <v>165</v>
      </c>
      <c r="F69" s="5" t="n">
        <v>2</v>
      </c>
      <c r="G69" s="10" t="s">
        <v>16</v>
      </c>
      <c r="H69" s="11" t="s">
        <v>43</v>
      </c>
      <c r="I69" s="12" t="s">
        <v>154</v>
      </c>
    </row>
    <row r="70" customFormat="false" ht="27.75" hidden="false" customHeight="true" outlineLevel="0" collapsed="false">
      <c r="A70" s="13" t="n">
        <v>64</v>
      </c>
      <c r="B70" s="14" t="s">
        <v>166</v>
      </c>
      <c r="C70" s="7" t="s">
        <v>13</v>
      </c>
      <c r="D70" s="21" t="s">
        <v>45</v>
      </c>
      <c r="E70" s="16" t="s">
        <v>167</v>
      </c>
      <c r="F70" s="13" t="n">
        <v>2</v>
      </c>
      <c r="G70" s="10" t="s">
        <v>16</v>
      </c>
      <c r="H70" s="17" t="s">
        <v>168</v>
      </c>
      <c r="I70" s="18" t="s">
        <v>154</v>
      </c>
    </row>
    <row r="71" customFormat="false" ht="27.75" hidden="false" customHeight="true" outlineLevel="0" collapsed="false">
      <c r="A71" s="5" t="n">
        <v>65</v>
      </c>
      <c r="B71" s="6" t="s">
        <v>166</v>
      </c>
      <c r="C71" s="19" t="s">
        <v>22</v>
      </c>
      <c r="D71" s="20" t="s">
        <v>32</v>
      </c>
      <c r="E71" s="9" t="s">
        <v>169</v>
      </c>
      <c r="F71" s="5" t="n">
        <v>5</v>
      </c>
      <c r="G71" s="10" t="s">
        <v>16</v>
      </c>
      <c r="H71" s="11" t="s">
        <v>43</v>
      </c>
      <c r="I71" s="12" t="s">
        <v>154</v>
      </c>
    </row>
    <row r="72" customFormat="false" ht="27.75" hidden="false" customHeight="true" outlineLevel="0" collapsed="false">
      <c r="A72" s="13" t="n">
        <v>66</v>
      </c>
      <c r="B72" s="14" t="s">
        <v>170</v>
      </c>
      <c r="C72" s="7" t="s">
        <v>13</v>
      </c>
      <c r="D72" s="21" t="s">
        <v>45</v>
      </c>
      <c r="E72" s="16" t="s">
        <v>171</v>
      </c>
      <c r="F72" s="13" t="n">
        <v>2</v>
      </c>
      <c r="G72" s="10" t="s">
        <v>16</v>
      </c>
      <c r="H72" s="17" t="s">
        <v>172</v>
      </c>
      <c r="I72" s="18" t="s">
        <v>154</v>
      </c>
    </row>
    <row r="73" customFormat="false" ht="27.75" hidden="false" customHeight="true" outlineLevel="0" collapsed="false">
      <c r="A73" s="5" t="n">
        <v>67</v>
      </c>
      <c r="B73" s="6" t="s">
        <v>170</v>
      </c>
      <c r="C73" s="19" t="s">
        <v>22</v>
      </c>
      <c r="D73" s="20" t="s">
        <v>32</v>
      </c>
      <c r="E73" s="9" t="s">
        <v>173</v>
      </c>
      <c r="F73" s="5" t="n">
        <v>4</v>
      </c>
      <c r="G73" s="10" t="s">
        <v>16</v>
      </c>
      <c r="H73" s="11" t="s">
        <v>43</v>
      </c>
      <c r="I73" s="12" t="s">
        <v>154</v>
      </c>
    </row>
    <row r="74" customFormat="false" ht="27.75" hidden="false" customHeight="true" outlineLevel="0" collapsed="false">
      <c r="A74" s="13" t="n">
        <v>68</v>
      </c>
      <c r="B74" s="14" t="s">
        <v>174</v>
      </c>
      <c r="C74" s="19" t="s">
        <v>22</v>
      </c>
      <c r="D74" s="20" t="s">
        <v>32</v>
      </c>
      <c r="E74" s="16" t="s">
        <v>175</v>
      </c>
      <c r="F74" s="13" t="n">
        <v>3</v>
      </c>
      <c r="G74" s="10" t="s">
        <v>16</v>
      </c>
      <c r="H74" s="17" t="s">
        <v>43</v>
      </c>
      <c r="I74" s="18" t="s">
        <v>154</v>
      </c>
    </row>
    <row r="75" customFormat="false" ht="27.75" hidden="false" customHeight="true" outlineLevel="0" collapsed="false">
      <c r="A75" s="5" t="n">
        <v>69</v>
      </c>
      <c r="B75" s="6" t="s">
        <v>176</v>
      </c>
      <c r="C75" s="15" t="s">
        <v>19</v>
      </c>
      <c r="D75" s="20" t="s">
        <v>32</v>
      </c>
      <c r="E75" s="9" t="s">
        <v>177</v>
      </c>
      <c r="F75" s="5" t="n">
        <v>2</v>
      </c>
      <c r="G75" s="10" t="s">
        <v>16</v>
      </c>
      <c r="H75" s="11" t="s">
        <v>178</v>
      </c>
      <c r="I75" s="12" t="s">
        <v>154</v>
      </c>
    </row>
    <row r="76" customFormat="false" ht="27.75" hidden="false" customHeight="true" outlineLevel="0" collapsed="false">
      <c r="A76" s="13" t="n">
        <v>70</v>
      </c>
      <c r="B76" s="14" t="s">
        <v>179</v>
      </c>
      <c r="C76" s="15" t="s">
        <v>19</v>
      </c>
      <c r="D76" s="20" t="s">
        <v>32</v>
      </c>
      <c r="E76" s="16" t="s">
        <v>180</v>
      </c>
      <c r="F76" s="13" t="n">
        <v>5</v>
      </c>
      <c r="G76" s="10" t="s">
        <v>16</v>
      </c>
      <c r="H76" s="17" t="s">
        <v>43</v>
      </c>
      <c r="I76" s="18" t="s">
        <v>154</v>
      </c>
    </row>
    <row r="77" customFormat="false" ht="27.75" hidden="false" customHeight="true" outlineLevel="0" collapsed="false">
      <c r="A77" s="5" t="n">
        <v>71</v>
      </c>
      <c r="B77" s="6" t="s">
        <v>181</v>
      </c>
      <c r="C77" s="19" t="s">
        <v>22</v>
      </c>
      <c r="D77" s="20" t="s">
        <v>32</v>
      </c>
      <c r="E77" s="9" t="s">
        <v>182</v>
      </c>
      <c r="F77" s="5" t="n">
        <v>4</v>
      </c>
      <c r="G77" s="10" t="s">
        <v>16</v>
      </c>
      <c r="H77" s="11" t="s">
        <v>43</v>
      </c>
      <c r="I77" s="12" t="s">
        <v>154</v>
      </c>
    </row>
    <row r="78" customFormat="false" ht="27.75" hidden="false" customHeight="true" outlineLevel="0" collapsed="false">
      <c r="A78" s="13" t="n">
        <v>72</v>
      </c>
      <c r="B78" s="14" t="s">
        <v>183</v>
      </c>
      <c r="C78" s="15" t="s">
        <v>19</v>
      </c>
      <c r="D78" s="20" t="s">
        <v>32</v>
      </c>
      <c r="E78" s="16" t="s">
        <v>184</v>
      </c>
      <c r="F78" s="13" t="n">
        <v>3</v>
      </c>
      <c r="G78" s="10" t="s">
        <v>16</v>
      </c>
      <c r="H78" s="17" t="s">
        <v>43</v>
      </c>
      <c r="I78" s="18" t="s">
        <v>185</v>
      </c>
    </row>
    <row r="79" customFormat="false" ht="27.75" hidden="false" customHeight="true" outlineLevel="0" collapsed="false">
      <c r="A79" s="5" t="n">
        <v>73</v>
      </c>
      <c r="B79" s="6" t="s">
        <v>183</v>
      </c>
      <c r="C79" s="15" t="s">
        <v>19</v>
      </c>
      <c r="D79" s="20" t="s">
        <v>32</v>
      </c>
      <c r="E79" s="9" t="s">
        <v>186</v>
      </c>
      <c r="F79" s="5" t="n">
        <v>1</v>
      </c>
      <c r="G79" s="10" t="s">
        <v>16</v>
      </c>
      <c r="H79" s="11" t="s">
        <v>43</v>
      </c>
      <c r="I79" s="12" t="s">
        <v>185</v>
      </c>
    </row>
    <row r="80" customFormat="false" ht="27.75" hidden="false" customHeight="true" outlineLevel="0" collapsed="false">
      <c r="A80" s="13" t="n">
        <v>74</v>
      </c>
      <c r="B80" s="14" t="s">
        <v>187</v>
      </c>
      <c r="C80" s="15" t="s">
        <v>19</v>
      </c>
      <c r="D80" s="20" t="s">
        <v>32</v>
      </c>
      <c r="E80" s="16" t="s">
        <v>188</v>
      </c>
      <c r="F80" s="13" t="n">
        <v>3</v>
      </c>
      <c r="G80" s="10" t="s">
        <v>16</v>
      </c>
      <c r="H80" s="17" t="s">
        <v>43</v>
      </c>
      <c r="I80" s="18" t="s">
        <v>185</v>
      </c>
    </row>
    <row r="81" customFormat="false" ht="27.75" hidden="false" customHeight="true" outlineLevel="0" collapsed="false">
      <c r="A81" s="5" t="n">
        <v>75</v>
      </c>
      <c r="B81" s="6" t="s">
        <v>189</v>
      </c>
      <c r="C81" s="7" t="s">
        <v>13</v>
      </c>
      <c r="D81" s="21" t="s">
        <v>45</v>
      </c>
      <c r="E81" s="9" t="s">
        <v>190</v>
      </c>
      <c r="F81" s="5" t="n">
        <v>5</v>
      </c>
      <c r="G81" s="10" t="s">
        <v>16</v>
      </c>
      <c r="H81" s="11" t="s">
        <v>43</v>
      </c>
      <c r="I81" s="12" t="s">
        <v>185</v>
      </c>
    </row>
    <row r="82" customFormat="false" ht="27.75" hidden="false" customHeight="true" outlineLevel="0" collapsed="false">
      <c r="A82" s="13" t="n">
        <v>76</v>
      </c>
      <c r="B82" s="14" t="s">
        <v>189</v>
      </c>
      <c r="C82" s="15" t="s">
        <v>19</v>
      </c>
      <c r="D82" s="20" t="s">
        <v>32</v>
      </c>
      <c r="E82" s="16" t="s">
        <v>191</v>
      </c>
      <c r="F82" s="13" t="n">
        <v>5</v>
      </c>
      <c r="G82" s="10" t="s">
        <v>16</v>
      </c>
      <c r="H82" s="17" t="s">
        <v>43</v>
      </c>
      <c r="I82" s="18" t="s">
        <v>185</v>
      </c>
    </row>
    <row r="83" customFormat="false" ht="27.75" hidden="false" customHeight="true" outlineLevel="0" collapsed="false">
      <c r="A83" s="5" t="n">
        <v>77</v>
      </c>
      <c r="B83" s="6" t="s">
        <v>192</v>
      </c>
      <c r="C83" s="15" t="s">
        <v>19</v>
      </c>
      <c r="D83" s="20" t="s">
        <v>32</v>
      </c>
      <c r="E83" s="9" t="s">
        <v>193</v>
      </c>
      <c r="F83" s="5" t="n">
        <v>1</v>
      </c>
      <c r="G83" s="10" t="s">
        <v>16</v>
      </c>
      <c r="H83" s="11" t="s">
        <v>194</v>
      </c>
      <c r="I83" s="12" t="s">
        <v>185</v>
      </c>
    </row>
    <row r="84" customFormat="false" ht="27.75" hidden="false" customHeight="true" outlineLevel="0" collapsed="false">
      <c r="A84" s="13" t="n">
        <v>78</v>
      </c>
      <c r="B84" s="14" t="s">
        <v>195</v>
      </c>
      <c r="C84" s="19" t="s">
        <v>22</v>
      </c>
      <c r="D84" s="20" t="s">
        <v>32</v>
      </c>
      <c r="E84" s="16" t="s">
        <v>196</v>
      </c>
      <c r="F84" s="13" t="n">
        <v>5</v>
      </c>
      <c r="G84" s="10" t="s">
        <v>16</v>
      </c>
      <c r="H84" s="17" t="s">
        <v>197</v>
      </c>
      <c r="I84" s="18" t="s">
        <v>185</v>
      </c>
    </row>
    <row r="85" customFormat="false" ht="27.75" hidden="false" customHeight="true" outlineLevel="0" collapsed="false">
      <c r="A85" s="5" t="n">
        <v>79</v>
      </c>
      <c r="B85" s="6" t="s">
        <v>198</v>
      </c>
      <c r="C85" s="19" t="s">
        <v>22</v>
      </c>
      <c r="D85" s="20" t="s">
        <v>32</v>
      </c>
      <c r="E85" s="9" t="s">
        <v>199</v>
      </c>
      <c r="F85" s="5" t="n">
        <v>4</v>
      </c>
      <c r="G85" s="10" t="s">
        <v>16</v>
      </c>
      <c r="H85" s="11" t="s">
        <v>43</v>
      </c>
      <c r="I85" s="12" t="s">
        <v>185</v>
      </c>
    </row>
    <row r="86" customFormat="false" ht="27.75" hidden="false" customHeight="true" outlineLevel="0" collapsed="false">
      <c r="A86" s="13" t="n">
        <v>80</v>
      </c>
      <c r="B86" s="14" t="s">
        <v>200</v>
      </c>
      <c r="C86" s="7" t="s">
        <v>13</v>
      </c>
      <c r="D86" s="21" t="s">
        <v>45</v>
      </c>
      <c r="E86" s="16" t="s">
        <v>201</v>
      </c>
      <c r="F86" s="13" t="n">
        <v>3</v>
      </c>
      <c r="G86" s="10" t="s">
        <v>16</v>
      </c>
      <c r="H86" s="17" t="s">
        <v>202</v>
      </c>
      <c r="I86" s="18" t="s">
        <v>185</v>
      </c>
    </row>
    <row r="87" customFormat="false" ht="27.75" hidden="false" customHeight="true" outlineLevel="0" collapsed="false">
      <c r="A87" s="5" t="n">
        <v>81</v>
      </c>
      <c r="B87" s="6" t="s">
        <v>203</v>
      </c>
      <c r="C87" s="7" t="s">
        <v>13</v>
      </c>
      <c r="D87" s="21" t="s">
        <v>45</v>
      </c>
      <c r="E87" s="9" t="s">
        <v>204</v>
      </c>
      <c r="F87" s="5" t="n">
        <v>3</v>
      </c>
      <c r="G87" s="10" t="s">
        <v>16</v>
      </c>
      <c r="H87" s="11" t="s">
        <v>43</v>
      </c>
      <c r="I87" s="12" t="s">
        <v>185</v>
      </c>
    </row>
    <row r="88" customFormat="false" ht="27.75" hidden="false" customHeight="true" outlineLevel="0" collapsed="false">
      <c r="A88" s="13" t="n">
        <v>82</v>
      </c>
      <c r="B88" s="14" t="s">
        <v>203</v>
      </c>
      <c r="C88" s="15" t="s">
        <v>19</v>
      </c>
      <c r="D88" s="20" t="s">
        <v>32</v>
      </c>
      <c r="E88" s="16" t="s">
        <v>205</v>
      </c>
      <c r="F88" s="13" t="n">
        <v>2</v>
      </c>
      <c r="G88" s="10" t="s">
        <v>16</v>
      </c>
      <c r="H88" s="17" t="s">
        <v>43</v>
      </c>
      <c r="I88" s="18" t="s">
        <v>185</v>
      </c>
    </row>
    <row r="89" customFormat="false" ht="27.75" hidden="false" customHeight="true" outlineLevel="0" collapsed="false">
      <c r="A89" s="5" t="n">
        <v>83</v>
      </c>
      <c r="B89" s="6" t="s">
        <v>206</v>
      </c>
      <c r="C89" s="19" t="s">
        <v>22</v>
      </c>
      <c r="D89" s="20" t="s">
        <v>32</v>
      </c>
      <c r="E89" s="9" t="s">
        <v>207</v>
      </c>
      <c r="F89" s="5" t="n">
        <v>4</v>
      </c>
      <c r="G89" s="10" t="s">
        <v>16</v>
      </c>
      <c r="H89" s="11" t="s">
        <v>43</v>
      </c>
      <c r="I89" s="12" t="s">
        <v>185</v>
      </c>
    </row>
    <row r="90" customFormat="false" ht="27.75" hidden="false" customHeight="true" outlineLevel="0" collapsed="false">
      <c r="A90" s="13" t="n">
        <v>84</v>
      </c>
      <c r="B90" s="14" t="s">
        <v>208</v>
      </c>
      <c r="C90" s="19" t="s">
        <v>22</v>
      </c>
      <c r="D90" s="20" t="s">
        <v>32</v>
      </c>
      <c r="E90" s="16" t="s">
        <v>209</v>
      </c>
      <c r="F90" s="13" t="n">
        <v>3</v>
      </c>
      <c r="G90" s="10" t="s">
        <v>16</v>
      </c>
      <c r="H90" s="17" t="s">
        <v>210</v>
      </c>
      <c r="I90" s="18" t="s">
        <v>185</v>
      </c>
    </row>
    <row r="91" customFormat="false" ht="21.75" hidden="false" customHeight="true" outlineLevel="0" collapsed="false">
      <c r="A91" s="22" t="s">
        <v>211</v>
      </c>
      <c r="B91" s="22"/>
      <c r="C91" s="22"/>
      <c r="D91" s="22"/>
      <c r="E91" s="22"/>
      <c r="F91" s="23" t="n">
        <f aca="false">SUM(F4:F90)</f>
        <v>349</v>
      </c>
      <c r="G91" s="24"/>
      <c r="H91" s="24"/>
      <c r="I91" s="24"/>
    </row>
    <row r="93" customFormat="false" ht="15" hidden="false" customHeight="false" outlineLevel="0" collapsed="false">
      <c r="A93" s="4" t="s">
        <v>212</v>
      </c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false" outlineLevel="0" collapsed="false">
      <c r="A94" s="7" t="s">
        <v>13</v>
      </c>
      <c r="B94" s="25" t="s">
        <v>213</v>
      </c>
    </row>
    <row r="95" customFormat="false" ht="15" hidden="false" customHeight="false" outlineLevel="0" collapsed="false">
      <c r="A95" s="15" t="s">
        <v>19</v>
      </c>
      <c r="B95" s="26" t="s">
        <v>214</v>
      </c>
    </row>
    <row r="96" customFormat="false" ht="15" hidden="false" customHeight="false" outlineLevel="0" collapsed="false">
      <c r="A96" s="19" t="s">
        <v>22</v>
      </c>
      <c r="B96" s="27" t="s">
        <v>214</v>
      </c>
    </row>
  </sheetData>
  <mergeCells count="7">
    <mergeCell ref="A1:I1"/>
    <mergeCell ref="A2:I2"/>
    <mergeCell ref="A4:I4"/>
    <mergeCell ref="A31:I31"/>
    <mergeCell ref="A63:I63"/>
    <mergeCell ref="A91:E91"/>
    <mergeCell ref="A93:I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216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4</v>
      </c>
      <c r="B3" s="3" t="s">
        <v>217</v>
      </c>
      <c r="C3" s="3" t="s">
        <v>218</v>
      </c>
      <c r="D3" s="3" t="s">
        <v>219</v>
      </c>
      <c r="E3" s="3" t="s">
        <v>220</v>
      </c>
      <c r="F3" s="3" t="s">
        <v>221</v>
      </c>
      <c r="G3" s="3" t="s">
        <v>222</v>
      </c>
      <c r="H3" s="3" t="s">
        <v>223</v>
      </c>
    </row>
    <row r="4" customFormat="false" ht="21.75" hidden="false" customHeight="true" outlineLevel="0" collapsed="false">
      <c r="A4" s="7" t="s">
        <v>13</v>
      </c>
      <c r="B4" s="28" t="s">
        <v>224</v>
      </c>
      <c r="C4" s="29" t="n">
        <v>8</v>
      </c>
      <c r="D4" s="29" t="n">
        <v>9</v>
      </c>
      <c r="E4" s="29" t="n">
        <v>8</v>
      </c>
      <c r="F4" s="30" t="n">
        <f aca="false">C4+D4+E4</f>
        <v>25</v>
      </c>
      <c r="G4" s="30" t="n">
        <v>123</v>
      </c>
      <c r="H4" s="29" t="s">
        <v>213</v>
      </c>
    </row>
    <row r="5" customFormat="false" ht="21.75" hidden="false" customHeight="true" outlineLevel="0" collapsed="false">
      <c r="A5" s="15" t="s">
        <v>19</v>
      </c>
      <c r="B5" s="31" t="s">
        <v>225</v>
      </c>
      <c r="C5" s="32" t="n">
        <v>7</v>
      </c>
      <c r="D5" s="32" t="n">
        <v>8</v>
      </c>
      <c r="E5" s="32" t="n">
        <v>7</v>
      </c>
      <c r="F5" s="33" t="n">
        <f aca="false">C5+D5+E5</f>
        <v>22</v>
      </c>
      <c r="G5" s="33" t="n">
        <v>104</v>
      </c>
      <c r="H5" s="32" t="s">
        <v>214</v>
      </c>
    </row>
    <row r="6" customFormat="false" ht="21.75" hidden="false" customHeight="true" outlineLevel="0" collapsed="false">
      <c r="A6" s="19" t="s">
        <v>22</v>
      </c>
      <c r="B6" s="34" t="s">
        <v>226</v>
      </c>
      <c r="C6" s="35" t="n">
        <v>4</v>
      </c>
      <c r="D6" s="35" t="n">
        <v>6</v>
      </c>
      <c r="E6" s="35" t="n">
        <v>7</v>
      </c>
      <c r="F6" s="36" t="n">
        <f aca="false">C6+D6+E6</f>
        <v>17</v>
      </c>
      <c r="G6" s="36" t="n">
        <v>71</v>
      </c>
      <c r="H6" s="35" t="s">
        <v>214</v>
      </c>
    </row>
    <row r="7" customFormat="false" ht="21.75" hidden="false" customHeight="true" outlineLevel="0" collapsed="false">
      <c r="A7" s="37" t="s">
        <v>227</v>
      </c>
      <c r="B7" s="38"/>
      <c r="C7" s="37" t="n">
        <f aca="false">SUM(C4:C6)</f>
        <v>19</v>
      </c>
      <c r="D7" s="37" t="n">
        <f aca="false">SUM(D4:D6)</f>
        <v>23</v>
      </c>
      <c r="E7" s="37" t="n">
        <f aca="false">SUM(E4:E6)</f>
        <v>22</v>
      </c>
      <c r="F7" s="37" t="n">
        <f aca="false">SUM(F4:F6)</f>
        <v>64</v>
      </c>
      <c r="G7" s="37" t="n">
        <f aca="false">SUM(G4:G6)</f>
        <v>298</v>
      </c>
      <c r="H7" s="38"/>
    </row>
    <row r="9" customFormat="false" ht="15" hidden="false" customHeight="false" outlineLevel="0" collapsed="false">
      <c r="A9" s="39" t="s">
        <v>228</v>
      </c>
      <c r="B9" s="39"/>
      <c r="C9" s="39"/>
      <c r="D9" s="39"/>
      <c r="E9" s="39"/>
      <c r="F9" s="39"/>
      <c r="G9" s="39"/>
      <c r="H9" s="39"/>
    </row>
    <row r="10" customFormat="false" ht="15" hidden="false" customHeight="false" outlineLevel="0" collapsed="false">
      <c r="A10" s="40" t="s">
        <v>4</v>
      </c>
      <c r="B10" s="40" t="s">
        <v>229</v>
      </c>
      <c r="C10" s="40" t="s">
        <v>230</v>
      </c>
      <c r="D10" s="40" t="s">
        <v>231</v>
      </c>
      <c r="E10" s="40" t="s">
        <v>232</v>
      </c>
    </row>
    <row r="11" customFormat="false" ht="15" hidden="false" customHeight="false" outlineLevel="0" collapsed="false">
      <c r="A11" s="7" t="s">
        <v>13</v>
      </c>
      <c r="B11" s="29" t="n">
        <v>37</v>
      </c>
      <c r="C11" s="29" t="n">
        <v>52</v>
      </c>
      <c r="D11" s="29" t="n">
        <v>34</v>
      </c>
      <c r="E11" s="30" t="n">
        <f aca="false">B11+C11+D11</f>
        <v>123</v>
      </c>
    </row>
    <row r="12" customFormat="false" ht="15" hidden="false" customHeight="false" outlineLevel="0" collapsed="false">
      <c r="A12" s="15" t="s">
        <v>19</v>
      </c>
      <c r="B12" s="32" t="n">
        <v>35</v>
      </c>
      <c r="C12" s="32" t="n">
        <v>44</v>
      </c>
      <c r="D12" s="32" t="n">
        <v>25</v>
      </c>
      <c r="E12" s="33" t="n">
        <f aca="false">B12+C12+D12</f>
        <v>104</v>
      </c>
    </row>
    <row r="13" customFormat="false" ht="15" hidden="false" customHeight="false" outlineLevel="0" collapsed="false">
      <c r="A13" s="19" t="s">
        <v>22</v>
      </c>
      <c r="B13" s="35" t="n">
        <v>19</v>
      </c>
      <c r="C13" s="35" t="n">
        <v>27</v>
      </c>
      <c r="D13" s="35" t="n">
        <v>25</v>
      </c>
      <c r="E13" s="36" t="n">
        <f aca="false">B13+C13+D13</f>
        <v>71</v>
      </c>
    </row>
    <row r="14" customFormat="false" ht="15" hidden="false" customHeight="false" outlineLevel="0" collapsed="false">
      <c r="A14" s="37" t="s">
        <v>227</v>
      </c>
      <c r="B14" s="37" t="n">
        <f aca="false">SUM(B11:B13)</f>
        <v>91</v>
      </c>
      <c r="C14" s="37" t="n">
        <f aca="false">SUM(C11:C13)</f>
        <v>123</v>
      </c>
      <c r="D14" s="37" t="n">
        <f aca="false">SUM(D11:D13)</f>
        <v>84</v>
      </c>
      <c r="E14" s="37" t="n">
        <f aca="false">SUM(E11:E13)</f>
        <v>298</v>
      </c>
    </row>
    <row r="16" customFormat="false" ht="15" hidden="false" customHeight="false" outlineLevel="0" collapsed="false">
      <c r="A16" s="39" t="s">
        <v>233</v>
      </c>
      <c r="B16" s="39"/>
      <c r="C16" s="39"/>
      <c r="D16" s="39"/>
      <c r="E16" s="39"/>
      <c r="F16" s="39"/>
      <c r="G16" s="39"/>
      <c r="H16" s="39"/>
    </row>
    <row r="17" customFormat="false" ht="21.75" hidden="false" customHeight="true" outlineLevel="0" collapsed="false">
      <c r="A17" s="7" t="s">
        <v>13</v>
      </c>
      <c r="B17" s="41" t="s">
        <v>234</v>
      </c>
      <c r="C17" s="41" t="s">
        <v>235</v>
      </c>
      <c r="D17" s="41" t="s">
        <v>236</v>
      </c>
      <c r="E17" s="41" t="s">
        <v>237</v>
      </c>
      <c r="F17" s="41" t="s">
        <v>238</v>
      </c>
    </row>
    <row r="18" customFormat="false" ht="21.75" hidden="false" customHeight="true" outlineLevel="0" collapsed="false">
      <c r="A18" s="15" t="s">
        <v>19</v>
      </c>
      <c r="B18" s="42" t="s">
        <v>239</v>
      </c>
      <c r="C18" s="42" t="s">
        <v>240</v>
      </c>
      <c r="D18" s="42" t="s">
        <v>241</v>
      </c>
      <c r="E18" s="42" t="s">
        <v>242</v>
      </c>
      <c r="F18" s="42" t="s">
        <v>243</v>
      </c>
    </row>
    <row r="19" customFormat="false" ht="21.75" hidden="false" customHeight="true" outlineLevel="0" collapsed="false">
      <c r="A19" s="19" t="s">
        <v>22</v>
      </c>
      <c r="B19" s="43" t="s">
        <v>244</v>
      </c>
      <c r="C19" s="43" t="s">
        <v>245</v>
      </c>
      <c r="D19" s="43" t="s">
        <v>246</v>
      </c>
      <c r="E19" s="43" t="s">
        <v>247</v>
      </c>
      <c r="F19" s="43" t="s">
        <v>248</v>
      </c>
    </row>
  </sheetData>
  <mergeCells count="4">
    <mergeCell ref="A1:H1"/>
    <mergeCell ref="A2:H2"/>
    <mergeCell ref="A9:H9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6" min="4" style="0" width="14"/>
    <col collapsed="false" customWidth="true" hidden="false" outlineLevel="0" max="7" min="7" style="0" width="36"/>
  </cols>
  <sheetData>
    <row r="1" customFormat="false" ht="31.5" hidden="false" customHeight="true" outlineLevel="0" collapsed="false">
      <c r="A1" s="1" t="s">
        <v>249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250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10</v>
      </c>
      <c r="B3" s="3" t="s">
        <v>251</v>
      </c>
      <c r="C3" s="3" t="s">
        <v>252</v>
      </c>
      <c r="D3" s="3" t="s">
        <v>253</v>
      </c>
      <c r="E3" s="3" t="s">
        <v>254</v>
      </c>
      <c r="F3" s="3" t="s">
        <v>255</v>
      </c>
      <c r="G3" s="3" t="s">
        <v>256</v>
      </c>
    </row>
    <row r="4" customFormat="false" ht="60" hidden="false" customHeight="true" outlineLevel="0" collapsed="false">
      <c r="A4" s="44" t="s">
        <v>18</v>
      </c>
      <c r="B4" s="45" t="s">
        <v>12</v>
      </c>
      <c r="C4" s="45" t="s">
        <v>57</v>
      </c>
      <c r="D4" s="44" t="n">
        <v>8</v>
      </c>
      <c r="E4" s="44" t="n">
        <v>39</v>
      </c>
      <c r="F4" s="46" t="s">
        <v>229</v>
      </c>
      <c r="G4" s="47" t="s">
        <v>257</v>
      </c>
    </row>
    <row r="5" customFormat="false" ht="60" hidden="false" customHeight="true" outlineLevel="0" collapsed="false">
      <c r="A5" s="33" t="s">
        <v>61</v>
      </c>
      <c r="B5" s="48" t="s">
        <v>59</v>
      </c>
      <c r="C5" s="48" t="s">
        <v>258</v>
      </c>
      <c r="D5" s="33" t="n">
        <v>10</v>
      </c>
      <c r="E5" s="33" t="n">
        <v>52</v>
      </c>
      <c r="F5" s="49" t="s">
        <v>229</v>
      </c>
      <c r="G5" s="42" t="s">
        <v>259</v>
      </c>
    </row>
    <row r="6" customFormat="false" ht="60" hidden="false" customHeight="true" outlineLevel="0" collapsed="false">
      <c r="A6" s="36" t="s">
        <v>93</v>
      </c>
      <c r="B6" s="50" t="s">
        <v>94</v>
      </c>
      <c r="C6" s="50" t="s">
        <v>114</v>
      </c>
      <c r="D6" s="36" t="n">
        <v>11</v>
      </c>
      <c r="E6" s="36" t="n">
        <v>51</v>
      </c>
      <c r="F6" s="51" t="s">
        <v>230</v>
      </c>
      <c r="G6" s="43" t="s">
        <v>260</v>
      </c>
    </row>
    <row r="7" customFormat="false" ht="60" hidden="false" customHeight="true" outlineLevel="0" collapsed="false">
      <c r="A7" s="30" t="s">
        <v>119</v>
      </c>
      <c r="B7" s="52" t="s">
        <v>116</v>
      </c>
      <c r="C7" s="52" t="s">
        <v>147</v>
      </c>
      <c r="D7" s="30" t="n">
        <v>14</v>
      </c>
      <c r="E7" s="30" t="n">
        <v>62</v>
      </c>
      <c r="F7" s="53" t="s">
        <v>230</v>
      </c>
      <c r="G7" s="41" t="s">
        <v>261</v>
      </c>
    </row>
    <row r="8" customFormat="false" ht="60" hidden="false" customHeight="true" outlineLevel="0" collapsed="false">
      <c r="A8" s="54" t="s">
        <v>154</v>
      </c>
      <c r="B8" s="55" t="s">
        <v>152</v>
      </c>
      <c r="C8" s="55" t="s">
        <v>181</v>
      </c>
      <c r="D8" s="54" t="n">
        <v>12</v>
      </c>
      <c r="E8" s="54" t="n">
        <v>48</v>
      </c>
      <c r="F8" s="56" t="s">
        <v>231</v>
      </c>
      <c r="G8" s="57" t="s">
        <v>262</v>
      </c>
    </row>
    <row r="9" customFormat="false" ht="60" hidden="false" customHeight="true" outlineLevel="0" collapsed="false">
      <c r="A9" s="58" t="s">
        <v>185</v>
      </c>
      <c r="B9" s="59" t="s">
        <v>183</v>
      </c>
      <c r="C9" s="59" t="s">
        <v>208</v>
      </c>
      <c r="D9" s="58" t="n">
        <v>11</v>
      </c>
      <c r="E9" s="58" t="n">
        <v>34</v>
      </c>
      <c r="F9" s="60" t="s">
        <v>231</v>
      </c>
      <c r="G9" s="61" t="s">
        <v>263</v>
      </c>
    </row>
    <row r="10" customFormat="false" ht="15" hidden="false" customHeight="false" outlineLevel="0" collapsed="false">
      <c r="A10" s="37" t="s">
        <v>227</v>
      </c>
      <c r="B10" s="62" t="s">
        <v>12</v>
      </c>
      <c r="C10" s="62" t="s">
        <v>208</v>
      </c>
      <c r="D10" s="37" t="n">
        <f aca="false">SUM(D4:D9)</f>
        <v>66</v>
      </c>
      <c r="E10" s="37" t="n">
        <f aca="false">SUM(E4:E9)</f>
        <v>286</v>
      </c>
      <c r="F10" s="62" t="s">
        <v>264</v>
      </c>
      <c r="G10" s="63" t="s">
        <v>265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8"/>
  </cols>
  <sheetData>
    <row r="1" customFormat="false" ht="31.5" hidden="false" customHeight="true" outlineLevel="0" collapsed="false">
      <c r="A1" s="1" t="s">
        <v>266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267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9" t="s">
        <v>268</v>
      </c>
      <c r="B3" s="39"/>
      <c r="C3" s="39"/>
      <c r="D3" s="39"/>
      <c r="E3" s="39"/>
      <c r="F3" s="39"/>
    </row>
    <row r="4" customFormat="false" ht="15" hidden="false" customHeight="false" outlineLevel="0" collapsed="false">
      <c r="A4" s="37" t="s">
        <v>4</v>
      </c>
      <c r="B4" s="37" t="s">
        <v>229</v>
      </c>
      <c r="C4" s="37" t="s">
        <v>230</v>
      </c>
      <c r="D4" s="37" t="s">
        <v>231</v>
      </c>
      <c r="E4" s="37" t="s">
        <v>269</v>
      </c>
      <c r="F4" s="37" t="s">
        <v>270</v>
      </c>
    </row>
    <row r="5" customFormat="false" ht="15" hidden="false" customHeight="false" outlineLevel="0" collapsed="false">
      <c r="A5" s="7" t="s">
        <v>13</v>
      </c>
      <c r="B5" s="29" t="n">
        <v>8</v>
      </c>
      <c r="C5" s="29" t="n">
        <v>9</v>
      </c>
      <c r="D5" s="29" t="n">
        <v>8</v>
      </c>
      <c r="E5" s="30" t="n">
        <f aca="false">B5+C5+D5</f>
        <v>25</v>
      </c>
      <c r="F5" s="64" t="n">
        <f aca="false">E5/SUM(E5:E7)</f>
        <v>0.390625</v>
      </c>
    </row>
    <row r="6" customFormat="false" ht="15" hidden="false" customHeight="false" outlineLevel="0" collapsed="false">
      <c r="A6" s="15" t="s">
        <v>19</v>
      </c>
      <c r="B6" s="32" t="n">
        <v>7</v>
      </c>
      <c r="C6" s="32" t="n">
        <v>8</v>
      </c>
      <c r="D6" s="32" t="n">
        <v>7</v>
      </c>
      <c r="E6" s="33" t="n">
        <f aca="false">B6+C6+D6</f>
        <v>22</v>
      </c>
      <c r="F6" s="65" t="n">
        <f aca="false">E6/SUM(E5:E7)</f>
        <v>0.34375</v>
      </c>
    </row>
    <row r="7" customFormat="false" ht="15" hidden="false" customHeight="false" outlineLevel="0" collapsed="false">
      <c r="A7" s="19" t="s">
        <v>22</v>
      </c>
      <c r="B7" s="35" t="n">
        <v>4</v>
      </c>
      <c r="C7" s="35" t="n">
        <v>6</v>
      </c>
      <c r="D7" s="35" t="n">
        <v>7</v>
      </c>
      <c r="E7" s="36" t="n">
        <f aca="false">B7+C7+D7</f>
        <v>17</v>
      </c>
      <c r="F7" s="66" t="n">
        <f aca="false">E7/SUM(E5:E7)</f>
        <v>0.265625</v>
      </c>
    </row>
    <row r="8" customFormat="false" ht="15" hidden="false" customHeight="false" outlineLevel="0" collapsed="false">
      <c r="A8" s="37" t="s">
        <v>227</v>
      </c>
      <c r="B8" s="37" t="n">
        <f aca="false">SUM(B5:B7)</f>
        <v>19</v>
      </c>
      <c r="C8" s="37" t="n">
        <f aca="false">SUM(C5:C7)</f>
        <v>23</v>
      </c>
      <c r="D8" s="37" t="n">
        <f aca="false">SUM(D5:D7)</f>
        <v>22</v>
      </c>
      <c r="E8" s="37" t="n">
        <f aca="false">SUM(E5:E7)</f>
        <v>64</v>
      </c>
      <c r="F8" s="37" t="s">
        <v>271</v>
      </c>
    </row>
    <row r="10" customFormat="false" ht="15" hidden="false" customHeight="false" outlineLevel="0" collapsed="false">
      <c r="A10" s="39" t="s">
        <v>272</v>
      </c>
      <c r="B10" s="39"/>
      <c r="C10" s="39"/>
      <c r="D10" s="39"/>
      <c r="E10" s="39"/>
      <c r="F10" s="39"/>
    </row>
    <row r="11" customFormat="false" ht="15" hidden="false" customHeight="false" outlineLevel="0" collapsed="false">
      <c r="A11" s="67" t="s">
        <v>221</v>
      </c>
      <c r="B11" s="21" t="n">
        <f aca="false">SUM(E5:E7)</f>
        <v>64</v>
      </c>
      <c r="C11" s="68"/>
      <c r="D11" s="68"/>
      <c r="E11" s="68"/>
      <c r="F11" s="68"/>
    </row>
    <row r="12" customFormat="false" ht="15" hidden="false" customHeight="false" outlineLevel="0" collapsed="false">
      <c r="A12" s="67" t="s">
        <v>273</v>
      </c>
      <c r="B12" s="21" t="n">
        <f aca="false">SUM(E5:E7)</f>
        <v>64</v>
      </c>
      <c r="C12" s="68"/>
      <c r="D12" s="68"/>
      <c r="E12" s="68"/>
      <c r="F12" s="68"/>
    </row>
    <row r="13" customFormat="false" ht="15" hidden="false" customHeight="false" outlineLevel="0" collapsed="false">
      <c r="A13" s="67" t="s">
        <v>274</v>
      </c>
      <c r="B13" s="21" t="s">
        <v>271</v>
      </c>
      <c r="C13" s="68"/>
      <c r="D13" s="68"/>
      <c r="E13" s="68"/>
      <c r="F13" s="68"/>
    </row>
    <row r="14" customFormat="false" ht="15" hidden="false" customHeight="false" outlineLevel="0" collapsed="false">
      <c r="A14" s="67" t="s">
        <v>275</v>
      </c>
      <c r="B14" s="21" t="n">
        <v>83</v>
      </c>
      <c r="C14" s="68"/>
      <c r="D14" s="68"/>
      <c r="E14" s="68"/>
      <c r="F14" s="68"/>
    </row>
    <row r="15" customFormat="false" ht="15" hidden="false" customHeight="false" outlineLevel="0" collapsed="false">
      <c r="A15" s="67" t="s">
        <v>276</v>
      </c>
      <c r="B15" s="21" t="n">
        <v>3</v>
      </c>
      <c r="C15" s="68"/>
      <c r="D15" s="68"/>
      <c r="E15" s="68"/>
      <c r="F15" s="68"/>
    </row>
    <row r="16" customFormat="false" ht="15" hidden="false" customHeight="false" outlineLevel="0" collapsed="false">
      <c r="A16" s="67" t="s">
        <v>277</v>
      </c>
      <c r="B16" s="21" t="n">
        <v>5</v>
      </c>
      <c r="C16" s="68"/>
      <c r="D16" s="68"/>
      <c r="E16" s="68"/>
      <c r="F16" s="68"/>
    </row>
    <row r="17" customFormat="false" ht="15" hidden="false" customHeight="false" outlineLevel="0" collapsed="false">
      <c r="A17" s="67" t="s">
        <v>222</v>
      </c>
      <c r="B17" s="21" t="n">
        <v>286</v>
      </c>
      <c r="C17" s="68"/>
      <c r="D17" s="68"/>
      <c r="E17" s="68"/>
      <c r="F17" s="68"/>
    </row>
    <row r="18" customFormat="false" ht="15" hidden="false" customHeight="false" outlineLevel="0" collapsed="false">
      <c r="A18" s="67" t="s">
        <v>278</v>
      </c>
      <c r="B18" s="21" t="n">
        <f aca="false">ROUND(287/SUM(E5:E7),1)</f>
        <v>4.5</v>
      </c>
      <c r="C18" s="68"/>
      <c r="D18" s="68"/>
      <c r="E18" s="68"/>
      <c r="F18" s="68"/>
    </row>
    <row r="19" customFormat="false" ht="15" hidden="false" customHeight="false" outlineLevel="0" collapsed="false">
      <c r="A19" s="67" t="s">
        <v>279</v>
      </c>
      <c r="B19" s="21" t="n">
        <v>91</v>
      </c>
      <c r="C19" s="68"/>
      <c r="D19" s="68"/>
      <c r="E19" s="68"/>
      <c r="F19" s="68"/>
    </row>
    <row r="20" customFormat="false" ht="15" hidden="false" customHeight="false" outlineLevel="0" collapsed="false">
      <c r="A20" s="67" t="s">
        <v>280</v>
      </c>
      <c r="B20" s="21" t="n">
        <v>123</v>
      </c>
      <c r="C20" s="68"/>
      <c r="D20" s="68"/>
      <c r="E20" s="68"/>
      <c r="F20" s="68"/>
    </row>
    <row r="21" customFormat="false" ht="15" hidden="false" customHeight="false" outlineLevel="0" collapsed="false">
      <c r="A21" s="67" t="s">
        <v>281</v>
      </c>
      <c r="B21" s="21" t="n">
        <v>84</v>
      </c>
      <c r="C21" s="68"/>
      <c r="D21" s="68"/>
      <c r="E21" s="68"/>
      <c r="F21" s="68"/>
    </row>
  </sheetData>
  <mergeCells count="15">
    <mergeCell ref="A1:F1"/>
    <mergeCell ref="A2:F2"/>
    <mergeCell ref="A3:F3"/>
    <mergeCell ref="A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2026-03-07T18:32:43Z</dcterms:created>
  <dc:creator>openpyxl</dc:creator>
  <dc:description/>
  <dc:language>en-US</dc:language>
  <cp:lastModifiedBy/>
  <dcterms:modified xsi:type="dcterms:W3CDTF">2026-03-07T18:32:43Z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